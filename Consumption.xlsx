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803F9EA2-0740-40D8-B6FB-DCFEAB7F2304}" xr6:coauthVersionLast="47" xr6:coauthVersionMax="47" xr10:uidLastSave="{00000000-0000-0000-0000-000000000000}"/>
  <bookViews>
    <workbookView xWindow="29415" yWindow="1515" windowWidth="21600" windowHeight="13215" xr2:uid="{DBB553FB-9E8C-47FF-81A1-BDC0FE81551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5" i="1" l="1"/>
  <c r="K96" i="1" s="1"/>
  <c r="K97" i="1" s="1"/>
  <c r="K94" i="1"/>
  <c r="K87" i="1"/>
  <c r="K88" i="1"/>
  <c r="K89" i="1"/>
  <c r="K90" i="1"/>
  <c r="K91" i="1" s="1"/>
  <c r="K92" i="1" s="1"/>
  <c r="K93" i="1" s="1"/>
  <c r="K79" i="1"/>
  <c r="K80" i="1"/>
  <c r="K81" i="1" s="1"/>
  <c r="K82" i="1" s="1"/>
  <c r="K83" i="1" s="1"/>
  <c r="K84" i="1" s="1"/>
  <c r="K85" i="1" s="1"/>
  <c r="K86" i="1" s="1"/>
  <c r="K78" i="1"/>
  <c r="K60" i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56" i="1"/>
  <c r="K57" i="1" s="1"/>
  <c r="K58" i="1" s="1"/>
  <c r="K59" i="1" s="1"/>
  <c r="G55" i="1"/>
  <c r="I55" i="1"/>
  <c r="K52" i="1"/>
  <c r="K53" i="1" s="1"/>
  <c r="K54" i="1" s="1"/>
  <c r="K51" i="1"/>
  <c r="K18" i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I16" i="1"/>
  <c r="K16" i="1"/>
  <c r="I17" i="1"/>
  <c r="K17" i="1"/>
  <c r="K6" i="1"/>
  <c r="K7" i="1" s="1"/>
  <c r="K8" i="1" s="1"/>
  <c r="K9" i="1" s="1"/>
  <c r="K10" i="1" s="1"/>
  <c r="K11" i="1" s="1"/>
  <c r="K12" i="1" s="1"/>
  <c r="K13" i="1" s="1"/>
  <c r="K14" i="1" s="1"/>
  <c r="K15" i="1" s="1"/>
  <c r="I15" i="1"/>
  <c r="I14" i="1"/>
  <c r="I13" i="1"/>
  <c r="I12" i="1"/>
  <c r="I11" i="1"/>
  <c r="I10" i="1"/>
  <c r="I9" i="1"/>
  <c r="I8" i="1"/>
  <c r="I7" i="1"/>
  <c r="K2" i="1"/>
  <c r="K3" i="1" s="1"/>
  <c r="K4" i="1" s="1"/>
  <c r="K5" i="1" s="1"/>
  <c r="G97" i="1"/>
  <c r="G96" i="1"/>
  <c r="G95" i="1"/>
  <c r="G94" i="1"/>
  <c r="G93" i="1"/>
  <c r="G92" i="1"/>
  <c r="G91" i="1"/>
  <c r="G90" i="1"/>
  <c r="G89" i="1"/>
  <c r="G56" i="1"/>
  <c r="I86" i="1"/>
  <c r="G86" i="1" s="1"/>
  <c r="I85" i="1"/>
  <c r="G85" i="1" s="1"/>
  <c r="I84" i="1"/>
  <c r="G84" i="1" s="1"/>
  <c r="I83" i="1"/>
  <c r="G83" i="1" s="1"/>
  <c r="I82" i="1"/>
  <c r="G82" i="1" s="1"/>
  <c r="I81" i="1"/>
  <c r="G81" i="1" s="1"/>
  <c r="I80" i="1"/>
  <c r="G80" i="1" s="1"/>
  <c r="I79" i="1"/>
  <c r="G79" i="1" s="1"/>
  <c r="I78" i="1"/>
  <c r="G78" i="1" s="1"/>
  <c r="G58" i="1"/>
  <c r="G57" i="1"/>
  <c r="I6" i="1"/>
  <c r="I5" i="1"/>
  <c r="I4" i="1"/>
  <c r="I3" i="1"/>
  <c r="I2" i="1"/>
  <c r="G88" i="1"/>
  <c r="G87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I54" i="1"/>
  <c r="G54" i="1" s="1"/>
  <c r="I53" i="1"/>
  <c r="G53" i="1" s="1"/>
  <c r="I52" i="1"/>
  <c r="G52" i="1" s="1"/>
  <c r="I51" i="1"/>
  <c r="G51" i="1" s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</calcChain>
</file>

<file path=xl/sharedStrings.xml><?xml version="1.0" encoding="utf-8"?>
<sst xmlns="http://schemas.openxmlformats.org/spreadsheetml/2006/main" count="293" uniqueCount="33">
  <si>
    <t>PATHS</t>
  </si>
  <si>
    <t>GRID</t>
  </si>
  <si>
    <t>GRID METER</t>
  </si>
  <si>
    <t>BUILDING</t>
  </si>
  <si>
    <t>Step 1</t>
  </si>
  <si>
    <t>Step 2</t>
  </si>
  <si>
    <t>Step 3</t>
  </si>
  <si>
    <t>INVERTER</t>
  </si>
  <si>
    <t>BATTERY</t>
  </si>
  <si>
    <t>SOLAR</t>
  </si>
  <si>
    <t>Exporting</t>
  </si>
  <si>
    <t>PATH 1</t>
  </si>
  <si>
    <t>PATH 2</t>
  </si>
  <si>
    <t>PATH 3</t>
  </si>
  <si>
    <t>GRID PWR</t>
  </si>
  <si>
    <t>BATTERY PWR</t>
  </si>
  <si>
    <t>Importing</t>
  </si>
  <si>
    <t>Charging</t>
  </si>
  <si>
    <t>Discharging</t>
  </si>
  <si>
    <t>TIME</t>
  </si>
  <si>
    <t>Step 4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</si>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</sst>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M98"/>
  <sheetViews>
    <sheetView tabSelected="1" workbookViewId="0">
      <pane ySplit="1" topLeftCell="A2" activePane="bottomLeft" state="frozenSplit"/>
      <selection pane="bottomLeft" activeCell="K2" sqref="K2"/>
    </sheetView>
  </sheetViews>
  <sheetFormatPr defaultRowHeight="15" x14ac:dyDescent="0.25"/>
  <cols>
    <col min="2" max="4" width="9.140625" style="2"/>
    <col min="6" max="6" width="11.28515625" customWidth="1"/>
    <col min="7" max="8" width="11" customWidth="1"/>
    <col min="10" max="10" width="11.5703125" bestFit="1" customWidth="1"/>
    <col min="11" max="11" width="11.5703125" customWidth="1"/>
    <col min="14" max="14" width="18.85546875" customWidth="1"/>
  </cols>
  <sheetData>
    <row r="1" spans="1:13" ht="45" x14ac:dyDescent="0.25">
      <c r="A1" t="s">
        <v>19</v>
      </c>
      <c r="B1" s="4" t="s">
        <v>11</v>
      </c>
      <c r="C1" s="4" t="s">
        <v>12</v>
      </c>
      <c r="D1" s="4" t="s">
        <v>13</v>
      </c>
      <c r="E1" s="3" t="s">
        <v>25</v>
      </c>
      <c r="F1" s="3" t="s">
        <v>26</v>
      </c>
      <c r="G1" s="3" t="s">
        <v>14</v>
      </c>
      <c r="H1" s="3" t="s">
        <v>27</v>
      </c>
      <c r="I1" s="3" t="s">
        <v>15</v>
      </c>
      <c r="J1" s="3" t="s">
        <v>28</v>
      </c>
      <c r="K1" s="3" t="s">
        <v>32</v>
      </c>
      <c r="L1" s="3" t="s">
        <v>29</v>
      </c>
      <c r="M1" s="3" t="s">
        <v>30</v>
      </c>
    </row>
    <row r="2" spans="1:13" x14ac:dyDescent="0.25">
      <c r="A2" s="1">
        <v>0</v>
      </c>
      <c r="B2" s="2">
        <v>6</v>
      </c>
      <c r="E2">
        <v>7.6050000000000004</v>
      </c>
      <c r="F2" t="s">
        <v>21</v>
      </c>
      <c r="I2">
        <f t="shared" ref="I2:I15" si="0">L2-E2</f>
        <v>-7.6050000000000004</v>
      </c>
      <c r="J2" t="s">
        <v>18</v>
      </c>
      <c r="K2" s="5">
        <f>0.95+I2*0.5%</f>
        <v>0.91197499999999998</v>
      </c>
      <c r="L2">
        <v>0</v>
      </c>
    </row>
    <row r="3" spans="1:13" x14ac:dyDescent="0.25">
      <c r="A3" s="1">
        <v>1.0416666666666666E-2</v>
      </c>
      <c r="B3" s="2">
        <v>6</v>
      </c>
      <c r="E3">
        <v>7.7099999999999991</v>
      </c>
      <c r="F3" t="s">
        <v>21</v>
      </c>
      <c r="I3">
        <f t="shared" si="0"/>
        <v>-7.7099999999999991</v>
      </c>
      <c r="J3" t="s">
        <v>18</v>
      </c>
      <c r="K3" s="5">
        <f>K2+I3*0.5%</f>
        <v>0.87342500000000001</v>
      </c>
      <c r="L3">
        <v>0</v>
      </c>
    </row>
    <row r="4" spans="1:13" x14ac:dyDescent="0.25">
      <c r="A4" s="1">
        <v>2.0833333333333301E-2</v>
      </c>
      <c r="B4" s="2">
        <v>6</v>
      </c>
      <c r="E4">
        <v>7.0649999999999995</v>
      </c>
      <c r="F4" t="s">
        <v>21</v>
      </c>
      <c r="I4">
        <f t="shared" si="0"/>
        <v>-7.0649999999999995</v>
      </c>
      <c r="J4" t="s">
        <v>18</v>
      </c>
      <c r="K4" s="5">
        <f t="shared" ref="K4:K15" si="1">K3+I4*0.5%</f>
        <v>0.83810000000000007</v>
      </c>
      <c r="L4">
        <v>0</v>
      </c>
    </row>
    <row r="5" spans="1:13" x14ac:dyDescent="0.25">
      <c r="A5" s="1">
        <v>3.125E-2</v>
      </c>
      <c r="B5" s="2">
        <v>6</v>
      </c>
      <c r="E5">
        <v>8.2349999999999994</v>
      </c>
      <c r="F5" t="s">
        <v>21</v>
      </c>
      <c r="I5">
        <f t="shared" si="0"/>
        <v>-8.2349999999999994</v>
      </c>
      <c r="J5" t="s">
        <v>18</v>
      </c>
      <c r="K5" s="5">
        <f t="shared" si="1"/>
        <v>0.79692500000000011</v>
      </c>
      <c r="L5">
        <v>0</v>
      </c>
    </row>
    <row r="6" spans="1:13" x14ac:dyDescent="0.25">
      <c r="A6" s="1">
        <v>4.1666666666666699E-2</v>
      </c>
      <c r="B6" s="2">
        <v>6</v>
      </c>
      <c r="E6">
        <v>7.17</v>
      </c>
      <c r="F6" t="s">
        <v>21</v>
      </c>
      <c r="I6">
        <f t="shared" si="0"/>
        <v>-7.17</v>
      </c>
      <c r="J6" t="s">
        <v>18</v>
      </c>
      <c r="K6" s="5">
        <f t="shared" si="1"/>
        <v>0.76107500000000006</v>
      </c>
      <c r="L6">
        <v>0</v>
      </c>
    </row>
    <row r="7" spans="1:13" x14ac:dyDescent="0.25">
      <c r="A7" s="1">
        <v>5.2083333333333301E-2</v>
      </c>
      <c r="B7" s="2">
        <v>1</v>
      </c>
      <c r="E7">
        <v>7.4700000000000006</v>
      </c>
      <c r="F7" t="s">
        <v>22</v>
      </c>
      <c r="I7">
        <f t="shared" si="0"/>
        <v>-7.4700000000000006</v>
      </c>
      <c r="J7" t="s">
        <v>18</v>
      </c>
      <c r="K7" s="5">
        <f t="shared" si="1"/>
        <v>0.72372500000000006</v>
      </c>
      <c r="L7">
        <v>0</v>
      </c>
    </row>
    <row r="8" spans="1:13" x14ac:dyDescent="0.25">
      <c r="A8" s="1">
        <v>6.25E-2</v>
      </c>
      <c r="B8" s="2">
        <v>1</v>
      </c>
      <c r="E8">
        <v>7.875</v>
      </c>
      <c r="F8" t="s">
        <v>22</v>
      </c>
      <c r="I8">
        <f t="shared" si="0"/>
        <v>-7.875</v>
      </c>
      <c r="J8" t="s">
        <v>18</v>
      </c>
      <c r="K8" s="5">
        <f t="shared" si="1"/>
        <v>0.68435000000000001</v>
      </c>
      <c r="L8">
        <v>0</v>
      </c>
    </row>
    <row r="9" spans="1:13" x14ac:dyDescent="0.25">
      <c r="A9" s="1">
        <v>7.2916666666666699E-2</v>
      </c>
      <c r="B9" s="2">
        <v>1</v>
      </c>
      <c r="E9">
        <v>7.3349999999999991</v>
      </c>
      <c r="F9" t="s">
        <v>22</v>
      </c>
      <c r="I9">
        <f t="shared" si="0"/>
        <v>-7.3349999999999991</v>
      </c>
      <c r="J9" t="s">
        <v>18</v>
      </c>
      <c r="K9" s="5">
        <f t="shared" si="1"/>
        <v>0.647675</v>
      </c>
      <c r="L9">
        <v>0</v>
      </c>
    </row>
    <row r="10" spans="1:13" x14ac:dyDescent="0.25">
      <c r="A10" s="1">
        <v>8.3333333333333301E-2</v>
      </c>
      <c r="B10" s="2">
        <v>1</v>
      </c>
      <c r="E10">
        <v>7.3949999999999996</v>
      </c>
      <c r="F10" t="s">
        <v>22</v>
      </c>
      <c r="I10">
        <f t="shared" si="0"/>
        <v>-7.3949999999999996</v>
      </c>
      <c r="J10" t="s">
        <v>18</v>
      </c>
      <c r="K10" s="5">
        <f t="shared" si="1"/>
        <v>0.61070000000000002</v>
      </c>
      <c r="L10">
        <v>0</v>
      </c>
    </row>
    <row r="11" spans="1:13" x14ac:dyDescent="0.25">
      <c r="A11" s="1">
        <v>9.375E-2</v>
      </c>
      <c r="B11" s="2">
        <v>1</v>
      </c>
      <c r="E11">
        <v>7.4399999999999995</v>
      </c>
      <c r="F11" t="s">
        <v>22</v>
      </c>
      <c r="I11">
        <f t="shared" si="0"/>
        <v>-7.4399999999999995</v>
      </c>
      <c r="J11" t="s">
        <v>18</v>
      </c>
      <c r="K11" s="5">
        <f t="shared" si="1"/>
        <v>0.57350000000000001</v>
      </c>
      <c r="L11">
        <v>0</v>
      </c>
    </row>
    <row r="12" spans="1:13" x14ac:dyDescent="0.25">
      <c r="A12" s="1">
        <v>0.104166666666667</v>
      </c>
      <c r="B12" s="2">
        <v>1</v>
      </c>
      <c r="E12">
        <v>7.89</v>
      </c>
      <c r="F12" t="s">
        <v>22</v>
      </c>
      <c r="I12">
        <f t="shared" si="0"/>
        <v>-7.89</v>
      </c>
      <c r="J12" t="s">
        <v>18</v>
      </c>
      <c r="K12" s="5">
        <f t="shared" si="1"/>
        <v>0.53405000000000002</v>
      </c>
      <c r="L12">
        <v>0</v>
      </c>
    </row>
    <row r="13" spans="1:13" x14ac:dyDescent="0.25">
      <c r="A13" s="1">
        <v>0.114583333333333</v>
      </c>
      <c r="B13" s="2">
        <v>1</v>
      </c>
      <c r="E13">
        <v>8.43</v>
      </c>
      <c r="F13" t="s">
        <v>22</v>
      </c>
      <c r="I13">
        <f t="shared" si="0"/>
        <v>-8.43</v>
      </c>
      <c r="J13" t="s">
        <v>18</v>
      </c>
      <c r="K13" s="5">
        <f t="shared" si="1"/>
        <v>0.4919</v>
      </c>
      <c r="L13">
        <v>0</v>
      </c>
    </row>
    <row r="14" spans="1:13" x14ac:dyDescent="0.25">
      <c r="A14" s="1">
        <v>0.125</v>
      </c>
      <c r="B14" s="2">
        <v>1</v>
      </c>
      <c r="E14">
        <v>7.74</v>
      </c>
      <c r="F14" t="s">
        <v>22</v>
      </c>
      <c r="I14">
        <f t="shared" si="0"/>
        <v>-7.74</v>
      </c>
      <c r="J14" t="s">
        <v>18</v>
      </c>
      <c r="K14" s="5">
        <f t="shared" si="1"/>
        <v>0.45319999999999999</v>
      </c>
      <c r="L14">
        <v>0</v>
      </c>
    </row>
    <row r="15" spans="1:13" x14ac:dyDescent="0.25">
      <c r="A15" s="1">
        <v>0.13541666666666699</v>
      </c>
      <c r="B15" s="2">
        <v>1</v>
      </c>
      <c r="E15">
        <v>7.38</v>
      </c>
      <c r="F15" t="s">
        <v>22</v>
      </c>
      <c r="I15">
        <f t="shared" si="0"/>
        <v>-7.38</v>
      </c>
      <c r="J15" t="s">
        <v>18</v>
      </c>
      <c r="K15" s="5">
        <f t="shared" si="1"/>
        <v>0.4163</v>
      </c>
      <c r="L15">
        <v>0</v>
      </c>
    </row>
    <row r="16" spans="1:13" x14ac:dyDescent="0.25">
      <c r="A16" s="1">
        <v>0.14583333333333301</v>
      </c>
      <c r="B16" s="2">
        <v>1</v>
      </c>
      <c r="E16">
        <v>7.89</v>
      </c>
      <c r="F16" t="s">
        <v>22</v>
      </c>
      <c r="I16">
        <f t="shared" ref="I16:I17" si="2">L16-E16</f>
        <v>-7.89</v>
      </c>
      <c r="J16" t="s">
        <v>18</v>
      </c>
      <c r="K16" s="5">
        <f t="shared" ref="K16:K50" si="3">K15+I16*0.5%</f>
        <v>0.37685000000000002</v>
      </c>
      <c r="L16">
        <v>0</v>
      </c>
    </row>
    <row r="17" spans="1:13" x14ac:dyDescent="0.25">
      <c r="A17" s="1">
        <v>0.15625</v>
      </c>
      <c r="B17" s="2">
        <v>1</v>
      </c>
      <c r="E17">
        <v>7.5449999999999999</v>
      </c>
      <c r="F17" t="s">
        <v>22</v>
      </c>
      <c r="I17">
        <f t="shared" si="2"/>
        <v>-7.5449999999999999</v>
      </c>
      <c r="J17" t="s">
        <v>18</v>
      </c>
      <c r="K17" s="5">
        <f t="shared" si="3"/>
        <v>0.33912500000000001</v>
      </c>
      <c r="L17">
        <v>0</v>
      </c>
    </row>
    <row r="18" spans="1:13" x14ac:dyDescent="0.25">
      <c r="A18" s="1">
        <v>0.16666666666666699</v>
      </c>
      <c r="B18" s="2">
        <v>1</v>
      </c>
      <c r="E18">
        <v>7.7250000000000005</v>
      </c>
      <c r="F18" t="s">
        <v>22</v>
      </c>
      <c r="G18">
        <f t="shared" ref="G18:G41" si="4">E18</f>
        <v>7.7250000000000005</v>
      </c>
      <c r="H18" t="s">
        <v>16</v>
      </c>
      <c r="K18" s="5">
        <f t="shared" si="3"/>
        <v>0.33912500000000001</v>
      </c>
      <c r="L18">
        <v>0</v>
      </c>
    </row>
    <row r="19" spans="1:13" x14ac:dyDescent="0.25">
      <c r="A19" s="1">
        <v>0.17708333333333301</v>
      </c>
      <c r="B19" s="2">
        <v>1</v>
      </c>
      <c r="E19">
        <v>8.5950000000000006</v>
      </c>
      <c r="F19" t="s">
        <v>22</v>
      </c>
      <c r="G19">
        <f t="shared" si="4"/>
        <v>8.5950000000000006</v>
      </c>
      <c r="H19" t="s">
        <v>16</v>
      </c>
      <c r="K19" s="5">
        <f t="shared" si="3"/>
        <v>0.33912500000000001</v>
      </c>
      <c r="L19">
        <v>0</v>
      </c>
    </row>
    <row r="20" spans="1:13" x14ac:dyDescent="0.25">
      <c r="A20" s="1">
        <v>0.1875</v>
      </c>
      <c r="B20" s="2">
        <v>1</v>
      </c>
      <c r="E20">
        <v>8.43</v>
      </c>
      <c r="F20" t="s">
        <v>22</v>
      </c>
      <c r="G20">
        <f t="shared" si="4"/>
        <v>8.43</v>
      </c>
      <c r="H20" t="s">
        <v>16</v>
      </c>
      <c r="K20" s="5">
        <f t="shared" si="3"/>
        <v>0.33912500000000001</v>
      </c>
      <c r="L20">
        <v>0</v>
      </c>
    </row>
    <row r="21" spans="1:13" x14ac:dyDescent="0.25">
      <c r="A21" s="1">
        <v>0.19791666666666699</v>
      </c>
      <c r="B21" s="2">
        <v>1</v>
      </c>
      <c r="E21">
        <v>9.18</v>
      </c>
      <c r="F21" t="s">
        <v>22</v>
      </c>
      <c r="G21">
        <f t="shared" si="4"/>
        <v>9.18</v>
      </c>
      <c r="H21" t="s">
        <v>16</v>
      </c>
      <c r="K21" s="5">
        <f t="shared" si="3"/>
        <v>0.33912500000000001</v>
      </c>
      <c r="L21">
        <v>0</v>
      </c>
    </row>
    <row r="22" spans="1:13" x14ac:dyDescent="0.25">
      <c r="A22" s="1">
        <v>0.20833333333333301</v>
      </c>
      <c r="B22" s="2">
        <v>1</v>
      </c>
      <c r="E22">
        <v>9.3149999999999995</v>
      </c>
      <c r="F22" t="s">
        <v>22</v>
      </c>
      <c r="G22">
        <f t="shared" si="4"/>
        <v>9.3149999999999995</v>
      </c>
      <c r="H22" t="s">
        <v>16</v>
      </c>
      <c r="K22" s="5">
        <f t="shared" si="3"/>
        <v>0.33912500000000001</v>
      </c>
      <c r="L22">
        <v>0</v>
      </c>
    </row>
    <row r="23" spans="1:13" x14ac:dyDescent="0.25">
      <c r="A23" s="1">
        <v>0.21875</v>
      </c>
      <c r="B23" s="2">
        <v>1</v>
      </c>
      <c r="C23" s="2">
        <v>3</v>
      </c>
      <c r="E23">
        <v>12</v>
      </c>
      <c r="F23" t="s">
        <v>23</v>
      </c>
      <c r="G23">
        <f t="shared" si="4"/>
        <v>12</v>
      </c>
      <c r="H23" t="s">
        <v>16</v>
      </c>
      <c r="K23" s="5">
        <f t="shared" si="3"/>
        <v>0.33912500000000001</v>
      </c>
      <c r="L23">
        <v>0.3</v>
      </c>
      <c r="M23" t="s">
        <v>31</v>
      </c>
    </row>
    <row r="24" spans="1:13" x14ac:dyDescent="0.25">
      <c r="A24" s="1">
        <v>0.22916666666666699</v>
      </c>
      <c r="B24" s="2">
        <v>1</v>
      </c>
      <c r="C24" s="2">
        <v>3</v>
      </c>
      <c r="E24">
        <v>14.64</v>
      </c>
      <c r="F24" t="s">
        <v>23</v>
      </c>
      <c r="G24">
        <f t="shared" si="4"/>
        <v>14.64</v>
      </c>
      <c r="H24" t="s">
        <v>16</v>
      </c>
      <c r="K24" s="5">
        <f t="shared" si="3"/>
        <v>0.33912500000000001</v>
      </c>
      <c r="L24">
        <v>0.45</v>
      </c>
      <c r="M24" t="s">
        <v>31</v>
      </c>
    </row>
    <row r="25" spans="1:13" x14ac:dyDescent="0.25">
      <c r="A25" s="1">
        <v>0.23958333333333301</v>
      </c>
      <c r="B25" s="2">
        <v>1</v>
      </c>
      <c r="C25" s="2">
        <v>3</v>
      </c>
      <c r="E25">
        <v>16.23</v>
      </c>
      <c r="F25" t="s">
        <v>23</v>
      </c>
      <c r="G25">
        <f t="shared" si="4"/>
        <v>16.23</v>
      </c>
      <c r="H25" t="s">
        <v>16</v>
      </c>
      <c r="K25" s="5">
        <f t="shared" si="3"/>
        <v>0.33912500000000001</v>
      </c>
      <c r="L25">
        <v>0.75</v>
      </c>
      <c r="M25" t="s">
        <v>31</v>
      </c>
    </row>
    <row r="26" spans="1:13" x14ac:dyDescent="0.25">
      <c r="A26" s="1">
        <v>0.25</v>
      </c>
      <c r="B26" s="2">
        <v>1</v>
      </c>
      <c r="C26" s="2">
        <v>3</v>
      </c>
      <c r="E26">
        <v>19.049999999999997</v>
      </c>
      <c r="F26" t="s">
        <v>23</v>
      </c>
      <c r="G26">
        <f t="shared" si="4"/>
        <v>19.049999999999997</v>
      </c>
      <c r="H26" t="s">
        <v>16</v>
      </c>
      <c r="K26" s="5">
        <f t="shared" si="3"/>
        <v>0.33912500000000001</v>
      </c>
      <c r="L26">
        <v>1.2</v>
      </c>
      <c r="M26" t="s">
        <v>31</v>
      </c>
    </row>
    <row r="27" spans="1:13" x14ac:dyDescent="0.25">
      <c r="A27" s="1">
        <v>0.26041666666666702</v>
      </c>
      <c r="B27" s="2">
        <v>1</v>
      </c>
      <c r="C27" s="2">
        <v>3</v>
      </c>
      <c r="E27">
        <v>23.234999999999999</v>
      </c>
      <c r="F27" t="s">
        <v>23</v>
      </c>
      <c r="G27">
        <f t="shared" si="4"/>
        <v>23.234999999999999</v>
      </c>
      <c r="H27" t="s">
        <v>16</v>
      </c>
      <c r="K27" s="5">
        <f t="shared" si="3"/>
        <v>0.33912500000000001</v>
      </c>
      <c r="L27">
        <v>3.15</v>
      </c>
      <c r="M27" t="s">
        <v>31</v>
      </c>
    </row>
    <row r="28" spans="1:13" x14ac:dyDescent="0.25">
      <c r="A28" s="1">
        <v>0.27083333333333298</v>
      </c>
      <c r="B28" s="2">
        <v>1</v>
      </c>
      <c r="C28" s="2">
        <v>3</v>
      </c>
      <c r="E28">
        <v>26.895</v>
      </c>
      <c r="F28" t="s">
        <v>23</v>
      </c>
      <c r="G28">
        <f t="shared" si="4"/>
        <v>26.895</v>
      </c>
      <c r="H28" t="s">
        <v>16</v>
      </c>
      <c r="K28" s="5">
        <f t="shared" si="3"/>
        <v>0.33912500000000001</v>
      </c>
      <c r="L28">
        <v>5.25</v>
      </c>
      <c r="M28" t="s">
        <v>31</v>
      </c>
    </row>
    <row r="29" spans="1:13" x14ac:dyDescent="0.25">
      <c r="A29" s="1">
        <v>0.28125</v>
      </c>
      <c r="B29" s="2">
        <v>1</v>
      </c>
      <c r="C29" s="2">
        <v>3</v>
      </c>
      <c r="E29">
        <v>30.224999999999998</v>
      </c>
      <c r="F29" t="s">
        <v>23</v>
      </c>
      <c r="G29">
        <f t="shared" si="4"/>
        <v>30.224999999999998</v>
      </c>
      <c r="H29" t="s">
        <v>16</v>
      </c>
      <c r="K29" s="5">
        <f t="shared" si="3"/>
        <v>0.33912500000000001</v>
      </c>
      <c r="L29">
        <v>7.35</v>
      </c>
      <c r="M29" t="s">
        <v>31</v>
      </c>
    </row>
    <row r="30" spans="1:13" x14ac:dyDescent="0.25">
      <c r="A30" s="1">
        <v>0.29166666666666702</v>
      </c>
      <c r="B30" s="2">
        <v>1</v>
      </c>
      <c r="C30" s="2">
        <v>3</v>
      </c>
      <c r="E30">
        <v>33.839999999999996</v>
      </c>
      <c r="F30" t="s">
        <v>23</v>
      </c>
      <c r="G30">
        <f t="shared" si="4"/>
        <v>33.839999999999996</v>
      </c>
      <c r="H30" t="s">
        <v>16</v>
      </c>
      <c r="K30" s="5">
        <f t="shared" si="3"/>
        <v>0.33912500000000001</v>
      </c>
      <c r="L30">
        <v>10.35</v>
      </c>
      <c r="M30" t="s">
        <v>31</v>
      </c>
    </row>
    <row r="31" spans="1:13" x14ac:dyDescent="0.25">
      <c r="A31" s="1">
        <v>0.30208333333333298</v>
      </c>
      <c r="B31" s="2">
        <v>1</v>
      </c>
      <c r="C31" s="2">
        <v>3</v>
      </c>
      <c r="E31">
        <v>39.765000000000001</v>
      </c>
      <c r="F31" t="s">
        <v>23</v>
      </c>
      <c r="G31">
        <f t="shared" si="4"/>
        <v>39.765000000000001</v>
      </c>
      <c r="H31" t="s">
        <v>16</v>
      </c>
      <c r="K31" s="5">
        <f t="shared" si="3"/>
        <v>0.33912500000000001</v>
      </c>
      <c r="L31">
        <v>13.05</v>
      </c>
      <c r="M31" t="s">
        <v>31</v>
      </c>
    </row>
    <row r="32" spans="1:13" x14ac:dyDescent="0.25">
      <c r="A32" s="1">
        <v>0.3125</v>
      </c>
      <c r="B32" s="2">
        <v>1</v>
      </c>
      <c r="C32" s="2">
        <v>3</v>
      </c>
      <c r="E32">
        <v>43.68</v>
      </c>
      <c r="F32" t="s">
        <v>23</v>
      </c>
      <c r="G32">
        <f t="shared" si="4"/>
        <v>43.68</v>
      </c>
      <c r="H32" t="s">
        <v>16</v>
      </c>
      <c r="K32" s="5">
        <f t="shared" si="3"/>
        <v>0.33912500000000001</v>
      </c>
      <c r="L32">
        <v>16.8</v>
      </c>
      <c r="M32" t="s">
        <v>31</v>
      </c>
    </row>
    <row r="33" spans="1:13" x14ac:dyDescent="0.25">
      <c r="A33" s="1">
        <v>0.32291666666666702</v>
      </c>
      <c r="B33" s="2">
        <v>1</v>
      </c>
      <c r="C33" s="2">
        <v>3</v>
      </c>
      <c r="E33">
        <v>52.605000000000004</v>
      </c>
      <c r="F33" t="s">
        <v>23</v>
      </c>
      <c r="G33">
        <f t="shared" si="4"/>
        <v>52.605000000000004</v>
      </c>
      <c r="H33" t="s">
        <v>16</v>
      </c>
      <c r="K33" s="5">
        <f t="shared" si="3"/>
        <v>0.33912500000000001</v>
      </c>
      <c r="L33">
        <v>23.25</v>
      </c>
      <c r="M33" t="s">
        <v>31</v>
      </c>
    </row>
    <row r="34" spans="1:13" x14ac:dyDescent="0.25">
      <c r="A34" s="1">
        <v>0.33333333333333298</v>
      </c>
      <c r="B34" s="2">
        <v>1</v>
      </c>
      <c r="C34" s="2">
        <v>3</v>
      </c>
      <c r="E34">
        <v>47.325000000000003</v>
      </c>
      <c r="F34" t="s">
        <v>23</v>
      </c>
      <c r="G34">
        <f t="shared" si="4"/>
        <v>47.325000000000003</v>
      </c>
      <c r="H34" t="s">
        <v>16</v>
      </c>
      <c r="K34" s="5">
        <f t="shared" si="3"/>
        <v>0.33912500000000001</v>
      </c>
      <c r="L34">
        <v>25.35</v>
      </c>
      <c r="M34" t="s">
        <v>31</v>
      </c>
    </row>
    <row r="35" spans="1:13" x14ac:dyDescent="0.25">
      <c r="A35" s="1">
        <v>0.34375</v>
      </c>
      <c r="B35" s="2">
        <v>1</v>
      </c>
      <c r="C35" s="2">
        <v>3</v>
      </c>
      <c r="E35">
        <v>55.44</v>
      </c>
      <c r="F35" t="s">
        <v>23</v>
      </c>
      <c r="G35">
        <f t="shared" si="4"/>
        <v>55.44</v>
      </c>
      <c r="H35" t="s">
        <v>16</v>
      </c>
      <c r="K35" s="5">
        <f t="shared" si="3"/>
        <v>0.33912500000000001</v>
      </c>
      <c r="L35">
        <v>31.05</v>
      </c>
      <c r="M35" t="s">
        <v>31</v>
      </c>
    </row>
    <row r="36" spans="1:13" x14ac:dyDescent="0.25">
      <c r="A36" s="1">
        <v>0.35416666666666702</v>
      </c>
      <c r="B36" s="2">
        <v>1</v>
      </c>
      <c r="C36" s="2">
        <v>3</v>
      </c>
      <c r="E36">
        <v>58.800000000000004</v>
      </c>
      <c r="F36" t="s">
        <v>23</v>
      </c>
      <c r="G36">
        <f t="shared" si="4"/>
        <v>58.800000000000004</v>
      </c>
      <c r="H36" t="s">
        <v>16</v>
      </c>
      <c r="K36" s="5">
        <f t="shared" si="3"/>
        <v>0.33912500000000001</v>
      </c>
      <c r="L36">
        <v>34.950000000000003</v>
      </c>
      <c r="M36" t="s">
        <v>31</v>
      </c>
    </row>
    <row r="37" spans="1:13" x14ac:dyDescent="0.25">
      <c r="A37" s="1">
        <v>0.36458333333333298</v>
      </c>
      <c r="B37" s="2">
        <v>1</v>
      </c>
      <c r="C37" s="2">
        <v>3</v>
      </c>
      <c r="E37">
        <v>64.004999999999995</v>
      </c>
      <c r="F37" t="s">
        <v>23</v>
      </c>
      <c r="G37">
        <f t="shared" si="4"/>
        <v>64.004999999999995</v>
      </c>
      <c r="H37" t="s">
        <v>16</v>
      </c>
      <c r="K37" s="5">
        <f t="shared" si="3"/>
        <v>0.33912500000000001</v>
      </c>
      <c r="L37">
        <v>44.25</v>
      </c>
      <c r="M37" t="s">
        <v>31</v>
      </c>
    </row>
    <row r="38" spans="1:13" x14ac:dyDescent="0.25">
      <c r="A38" s="1">
        <v>0.375</v>
      </c>
      <c r="B38" s="2">
        <v>1</v>
      </c>
      <c r="C38" s="2">
        <v>3</v>
      </c>
      <c r="E38">
        <v>64.739999999999995</v>
      </c>
      <c r="F38" t="s">
        <v>23</v>
      </c>
      <c r="G38">
        <f t="shared" si="4"/>
        <v>64.739999999999995</v>
      </c>
      <c r="H38" t="s">
        <v>16</v>
      </c>
      <c r="K38" s="5">
        <f t="shared" si="3"/>
        <v>0.33912500000000001</v>
      </c>
      <c r="L38">
        <v>48.6</v>
      </c>
      <c r="M38" t="s">
        <v>31</v>
      </c>
    </row>
    <row r="39" spans="1:13" x14ac:dyDescent="0.25">
      <c r="A39" s="1">
        <v>0.38541666666666702</v>
      </c>
      <c r="B39" s="2">
        <v>1</v>
      </c>
      <c r="C39" s="2">
        <v>3</v>
      </c>
      <c r="E39">
        <v>62.655000000000001</v>
      </c>
      <c r="F39" t="s">
        <v>23</v>
      </c>
      <c r="G39">
        <f t="shared" si="4"/>
        <v>62.655000000000001</v>
      </c>
      <c r="H39" t="s">
        <v>16</v>
      </c>
      <c r="K39" s="5">
        <f t="shared" si="3"/>
        <v>0.33912500000000001</v>
      </c>
      <c r="L39">
        <v>53.55</v>
      </c>
      <c r="M39" t="s">
        <v>31</v>
      </c>
    </row>
    <row r="40" spans="1:13" x14ac:dyDescent="0.25">
      <c r="A40" s="1">
        <v>0.39583333333333298</v>
      </c>
      <c r="B40" s="2">
        <v>1</v>
      </c>
      <c r="C40" s="2">
        <v>3</v>
      </c>
      <c r="E40">
        <v>66.224999999999994</v>
      </c>
      <c r="F40" t="s">
        <v>23</v>
      </c>
      <c r="G40">
        <f t="shared" si="4"/>
        <v>66.224999999999994</v>
      </c>
      <c r="H40" t="s">
        <v>16</v>
      </c>
      <c r="K40" s="5">
        <f t="shared" si="3"/>
        <v>0.33912500000000001</v>
      </c>
      <c r="L40">
        <v>57.9</v>
      </c>
      <c r="M40" t="s">
        <v>31</v>
      </c>
    </row>
    <row r="41" spans="1:13" x14ac:dyDescent="0.25">
      <c r="A41" s="1">
        <v>0.40625</v>
      </c>
      <c r="B41" s="2">
        <v>1</v>
      </c>
      <c r="C41" s="2">
        <v>3</v>
      </c>
      <c r="E41">
        <v>69.074999999999989</v>
      </c>
      <c r="F41" t="s">
        <v>23</v>
      </c>
      <c r="G41">
        <f t="shared" si="4"/>
        <v>69.074999999999989</v>
      </c>
      <c r="H41" t="s">
        <v>16</v>
      </c>
      <c r="K41" s="5">
        <f t="shared" si="3"/>
        <v>0.33912500000000001</v>
      </c>
      <c r="L41">
        <v>66.3</v>
      </c>
      <c r="M41" t="s">
        <v>31</v>
      </c>
    </row>
    <row r="42" spans="1:13" x14ac:dyDescent="0.25">
      <c r="A42" s="1">
        <v>0.41666666666666702</v>
      </c>
      <c r="B42" s="2">
        <v>3</v>
      </c>
      <c r="C42" s="2">
        <v>4</v>
      </c>
      <c r="E42">
        <v>68.114999999999995</v>
      </c>
      <c r="F42" t="s">
        <v>24</v>
      </c>
      <c r="G42">
        <f>E42-L42</f>
        <v>-6.7349999999999994</v>
      </c>
      <c r="H42" s="1" t="s">
        <v>10</v>
      </c>
      <c r="K42" s="5">
        <f t="shared" si="3"/>
        <v>0.33912500000000001</v>
      </c>
      <c r="L42">
        <v>74.849999999999994</v>
      </c>
      <c r="M42" t="s">
        <v>31</v>
      </c>
    </row>
    <row r="43" spans="1:13" x14ac:dyDescent="0.25">
      <c r="A43" s="1">
        <v>0.42708333333333298</v>
      </c>
      <c r="B43" s="2">
        <v>3</v>
      </c>
      <c r="C43" s="2">
        <v>4</v>
      </c>
      <c r="E43">
        <v>71.820000000000007</v>
      </c>
      <c r="F43" t="s">
        <v>24</v>
      </c>
      <c r="G43">
        <f t="shared" ref="G43:G50" si="5">E43-L43</f>
        <v>-0.17999999999999261</v>
      </c>
      <c r="H43" s="1" t="s">
        <v>10</v>
      </c>
      <c r="K43" s="5">
        <f t="shared" si="3"/>
        <v>0.33912500000000001</v>
      </c>
      <c r="L43">
        <v>72</v>
      </c>
      <c r="M43" t="s">
        <v>31</v>
      </c>
    </row>
    <row r="44" spans="1:13" x14ac:dyDescent="0.25">
      <c r="A44" s="1">
        <v>0.4375</v>
      </c>
      <c r="B44" s="2">
        <v>3</v>
      </c>
      <c r="C44" s="2">
        <v>4</v>
      </c>
      <c r="E44">
        <v>65.099999999999994</v>
      </c>
      <c r="F44" t="s">
        <v>24</v>
      </c>
      <c r="G44">
        <f t="shared" si="5"/>
        <v>-24.450000000000003</v>
      </c>
      <c r="H44" s="1" t="s">
        <v>10</v>
      </c>
      <c r="K44" s="5">
        <f t="shared" si="3"/>
        <v>0.33912500000000001</v>
      </c>
      <c r="L44">
        <v>89.55</v>
      </c>
      <c r="M44" t="s">
        <v>31</v>
      </c>
    </row>
    <row r="45" spans="1:13" x14ac:dyDescent="0.25">
      <c r="A45" s="1">
        <v>0.44791666666666702</v>
      </c>
      <c r="B45" s="2">
        <v>3</v>
      </c>
      <c r="C45" s="2">
        <v>4</v>
      </c>
      <c r="E45">
        <v>75.974999999999994</v>
      </c>
      <c r="F45" t="s">
        <v>24</v>
      </c>
      <c r="G45">
        <f t="shared" si="5"/>
        <v>-20.625</v>
      </c>
      <c r="H45" s="1" t="s">
        <v>10</v>
      </c>
      <c r="K45" s="5">
        <f t="shared" si="3"/>
        <v>0.33912500000000001</v>
      </c>
      <c r="L45">
        <v>96.6</v>
      </c>
      <c r="M45" t="s">
        <v>31</v>
      </c>
    </row>
    <row r="46" spans="1:13" x14ac:dyDescent="0.25">
      <c r="A46" s="1">
        <v>0.45833333333333298</v>
      </c>
      <c r="B46" s="2">
        <v>3</v>
      </c>
      <c r="C46" s="2">
        <v>4</v>
      </c>
      <c r="E46">
        <v>75.960000000000008</v>
      </c>
      <c r="F46" t="s">
        <v>24</v>
      </c>
      <c r="G46">
        <f t="shared" si="5"/>
        <v>-8.6399999999999864</v>
      </c>
      <c r="H46" s="1" t="s">
        <v>10</v>
      </c>
      <c r="K46" s="5">
        <f t="shared" si="3"/>
        <v>0.33912500000000001</v>
      </c>
      <c r="L46">
        <v>84.6</v>
      </c>
      <c r="M46" t="s">
        <v>31</v>
      </c>
    </row>
    <row r="47" spans="1:13" x14ac:dyDescent="0.25">
      <c r="A47" s="1">
        <v>0.46875</v>
      </c>
      <c r="B47" s="2">
        <v>3</v>
      </c>
      <c r="C47" s="2">
        <v>4</v>
      </c>
      <c r="E47">
        <v>70.784999999999997</v>
      </c>
      <c r="F47" t="s">
        <v>24</v>
      </c>
      <c r="G47">
        <f t="shared" si="5"/>
        <v>-35.564999999999998</v>
      </c>
      <c r="H47" s="1" t="s">
        <v>10</v>
      </c>
      <c r="K47" s="5">
        <f t="shared" si="3"/>
        <v>0.33912500000000001</v>
      </c>
      <c r="L47">
        <v>106.35</v>
      </c>
      <c r="M47" t="s">
        <v>31</v>
      </c>
    </row>
    <row r="48" spans="1:13" x14ac:dyDescent="0.25">
      <c r="A48" s="1">
        <v>0.47916666666666702</v>
      </c>
      <c r="B48" s="2">
        <v>3</v>
      </c>
      <c r="C48" s="2">
        <v>4</v>
      </c>
      <c r="E48">
        <v>73.5</v>
      </c>
      <c r="F48" t="s">
        <v>24</v>
      </c>
      <c r="G48">
        <f t="shared" si="5"/>
        <v>-45.150000000000006</v>
      </c>
      <c r="H48" s="1" t="s">
        <v>10</v>
      </c>
      <c r="K48" s="5">
        <f t="shared" si="3"/>
        <v>0.33912500000000001</v>
      </c>
      <c r="L48">
        <v>118.65</v>
      </c>
      <c r="M48" t="s">
        <v>31</v>
      </c>
    </row>
    <row r="49" spans="1:13" x14ac:dyDescent="0.25">
      <c r="A49" s="1">
        <v>0.48958333333333298</v>
      </c>
      <c r="B49" s="2">
        <v>3</v>
      </c>
      <c r="C49" s="2">
        <v>4</v>
      </c>
      <c r="E49">
        <v>71.88</v>
      </c>
      <c r="F49" t="s">
        <v>24</v>
      </c>
      <c r="G49">
        <f t="shared" si="5"/>
        <v>-46.320000000000007</v>
      </c>
      <c r="H49" s="1" t="s">
        <v>10</v>
      </c>
      <c r="K49" s="5">
        <f t="shared" si="3"/>
        <v>0.33912500000000001</v>
      </c>
      <c r="L49">
        <v>118.2</v>
      </c>
      <c r="M49" t="s">
        <v>31</v>
      </c>
    </row>
    <row r="50" spans="1:13" x14ac:dyDescent="0.25">
      <c r="A50" s="1">
        <v>0.5</v>
      </c>
      <c r="B50" s="2">
        <v>3</v>
      </c>
      <c r="C50" s="2">
        <v>4</v>
      </c>
      <c r="E50">
        <v>69.36</v>
      </c>
      <c r="F50" t="s">
        <v>24</v>
      </c>
      <c r="G50">
        <f t="shared" si="5"/>
        <v>-58.739999999999995</v>
      </c>
      <c r="H50" s="1" t="s">
        <v>10</v>
      </c>
      <c r="K50" s="5">
        <f t="shared" si="3"/>
        <v>0.33912500000000001</v>
      </c>
      <c r="L50">
        <v>128.1</v>
      </c>
      <c r="M50" t="s">
        <v>31</v>
      </c>
    </row>
    <row r="51" spans="1:13" x14ac:dyDescent="0.25">
      <c r="A51" s="1">
        <v>0.51041666666666696</v>
      </c>
      <c r="B51" s="2">
        <v>3</v>
      </c>
      <c r="C51" s="2">
        <v>5</v>
      </c>
      <c r="E51">
        <v>71.655000000000001</v>
      </c>
      <c r="F51" t="s">
        <v>24</v>
      </c>
      <c r="G51">
        <f t="shared" ref="G51:G54" si="6">E51-L51+I51</f>
        <v>0</v>
      </c>
      <c r="H51" s="1"/>
      <c r="I51">
        <f>L51-E51</f>
        <v>58.245000000000005</v>
      </c>
      <c r="J51" t="s">
        <v>17</v>
      </c>
      <c r="K51" s="5">
        <f>K50+I51*0.25%</f>
        <v>0.48473750000000004</v>
      </c>
      <c r="L51">
        <v>129.9</v>
      </c>
      <c r="M51" t="s">
        <v>31</v>
      </c>
    </row>
    <row r="52" spans="1:13" x14ac:dyDescent="0.25">
      <c r="A52" s="1">
        <v>0.52083333333333304</v>
      </c>
      <c r="B52" s="2">
        <v>3</v>
      </c>
      <c r="C52" s="2">
        <v>5</v>
      </c>
      <c r="E52">
        <v>73.905000000000001</v>
      </c>
      <c r="F52" t="s">
        <v>24</v>
      </c>
      <c r="G52">
        <f t="shared" si="6"/>
        <v>0</v>
      </c>
      <c r="H52" s="1"/>
      <c r="I52">
        <f t="shared" ref="I52:I54" si="7">L52-E52</f>
        <v>44.295000000000002</v>
      </c>
      <c r="J52" t="s">
        <v>17</v>
      </c>
      <c r="K52" s="5">
        <f t="shared" ref="K52:K97" si="8">K51+I52*0.25%</f>
        <v>0.59547500000000009</v>
      </c>
      <c r="L52">
        <v>118.2</v>
      </c>
      <c r="M52" t="s">
        <v>31</v>
      </c>
    </row>
    <row r="53" spans="1:13" x14ac:dyDescent="0.25">
      <c r="A53" s="1">
        <v>0.53125</v>
      </c>
      <c r="B53" s="2">
        <v>3</v>
      </c>
      <c r="C53" s="2">
        <v>5</v>
      </c>
      <c r="E53">
        <v>69.63</v>
      </c>
      <c r="F53" t="s">
        <v>24</v>
      </c>
      <c r="G53">
        <f t="shared" si="6"/>
        <v>0</v>
      </c>
      <c r="H53" s="1"/>
      <c r="I53">
        <f t="shared" si="7"/>
        <v>46.92</v>
      </c>
      <c r="J53" t="s">
        <v>17</v>
      </c>
      <c r="K53" s="5">
        <f t="shared" si="8"/>
        <v>0.71277500000000005</v>
      </c>
      <c r="L53">
        <v>116.55</v>
      </c>
      <c r="M53" t="s">
        <v>31</v>
      </c>
    </row>
    <row r="54" spans="1:13" x14ac:dyDescent="0.25">
      <c r="A54" s="1">
        <v>0.54166666666666696</v>
      </c>
      <c r="B54" s="2">
        <v>3</v>
      </c>
      <c r="C54" s="2">
        <v>5</v>
      </c>
      <c r="E54">
        <v>69.314999999999998</v>
      </c>
      <c r="F54" t="s">
        <v>24</v>
      </c>
      <c r="G54">
        <f t="shared" si="6"/>
        <v>0</v>
      </c>
      <c r="H54" s="1"/>
      <c r="I54">
        <f t="shared" si="7"/>
        <v>58.185000000000002</v>
      </c>
      <c r="J54" t="s">
        <v>17</v>
      </c>
      <c r="K54" s="5">
        <f t="shared" si="8"/>
        <v>0.8582375000000001</v>
      </c>
      <c r="L54">
        <v>127.5</v>
      </c>
      <c r="M54" t="s">
        <v>31</v>
      </c>
    </row>
    <row r="55" spans="1:13" x14ac:dyDescent="0.25">
      <c r="A55" s="1">
        <v>0.55208333333333304</v>
      </c>
      <c r="B55" s="2">
        <v>3</v>
      </c>
      <c r="C55" s="2">
        <v>4</v>
      </c>
      <c r="E55">
        <v>69.465000000000003</v>
      </c>
      <c r="F55" t="s">
        <v>24</v>
      </c>
      <c r="G55">
        <f t="shared" ref="G55" si="9">E55-L55+I55</f>
        <v>0</v>
      </c>
      <c r="H55" s="1"/>
      <c r="I55">
        <f t="shared" ref="I55" si="10">L55-E55</f>
        <v>56.234999999999999</v>
      </c>
      <c r="J55" t="s">
        <v>17</v>
      </c>
      <c r="K55" s="5">
        <v>0.96</v>
      </c>
      <c r="L55">
        <v>125.7</v>
      </c>
      <c r="M55" t="s">
        <v>31</v>
      </c>
    </row>
    <row r="56" spans="1:13" x14ac:dyDescent="0.25">
      <c r="A56" s="1">
        <v>0.5625</v>
      </c>
      <c r="B56" s="2">
        <v>3</v>
      </c>
      <c r="C56" s="2">
        <v>4</v>
      </c>
      <c r="E56">
        <v>70.185000000000002</v>
      </c>
      <c r="F56" t="s">
        <v>24</v>
      </c>
      <c r="G56">
        <f t="shared" ref="G56" si="11">E56-L56</f>
        <v>-43.965000000000003</v>
      </c>
      <c r="H56" s="1" t="s">
        <v>10</v>
      </c>
      <c r="K56" s="5">
        <f t="shared" si="8"/>
        <v>0.96</v>
      </c>
      <c r="L56">
        <v>114.15</v>
      </c>
      <c r="M56" t="s">
        <v>31</v>
      </c>
    </row>
    <row r="57" spans="1:13" x14ac:dyDescent="0.25">
      <c r="A57" s="1">
        <v>0.57291666666666696</v>
      </c>
      <c r="B57" s="2">
        <v>3</v>
      </c>
      <c r="C57" s="2">
        <v>4</v>
      </c>
      <c r="E57">
        <v>71.789999999999992</v>
      </c>
      <c r="F57" t="s">
        <v>24</v>
      </c>
      <c r="G57">
        <f t="shared" ref="G57:G58" si="12">E57-L57</f>
        <v>-47.610000000000014</v>
      </c>
      <c r="H57" s="1" t="s">
        <v>10</v>
      </c>
      <c r="K57" s="5">
        <f t="shared" si="8"/>
        <v>0.96</v>
      </c>
      <c r="L57">
        <v>119.4</v>
      </c>
      <c r="M57" t="s">
        <v>31</v>
      </c>
    </row>
    <row r="58" spans="1:13" x14ac:dyDescent="0.25">
      <c r="A58" s="1">
        <v>0.58333333333333304</v>
      </c>
      <c r="B58" s="2">
        <v>3</v>
      </c>
      <c r="C58" s="2">
        <v>4</v>
      </c>
      <c r="E58">
        <v>65.894999999999996</v>
      </c>
      <c r="F58" t="s">
        <v>24</v>
      </c>
      <c r="G58">
        <f t="shared" si="12"/>
        <v>-53.805000000000007</v>
      </c>
      <c r="H58" s="1" t="s">
        <v>10</v>
      </c>
      <c r="K58" s="5">
        <f t="shared" si="8"/>
        <v>0.96</v>
      </c>
      <c r="L58">
        <v>119.7</v>
      </c>
      <c r="M58" t="s">
        <v>31</v>
      </c>
    </row>
    <row r="59" spans="1:13" x14ac:dyDescent="0.25">
      <c r="A59" s="1">
        <v>0.59375</v>
      </c>
      <c r="B59" s="2">
        <v>3</v>
      </c>
      <c r="C59" s="2">
        <v>4</v>
      </c>
      <c r="E59">
        <v>68.28</v>
      </c>
      <c r="F59" t="s">
        <v>24</v>
      </c>
      <c r="G59">
        <f t="shared" ref="G59" si="13">E59-L59</f>
        <v>-46.17</v>
      </c>
      <c r="H59" s="1" t="s">
        <v>10</v>
      </c>
      <c r="K59" s="5">
        <f t="shared" si="8"/>
        <v>0.96</v>
      </c>
      <c r="L59">
        <v>114.45</v>
      </c>
      <c r="M59" t="s">
        <v>31</v>
      </c>
    </row>
    <row r="60" spans="1:13" x14ac:dyDescent="0.25">
      <c r="A60" s="1">
        <v>0.60416666666666696</v>
      </c>
      <c r="B60" s="2">
        <v>3</v>
      </c>
      <c r="C60" s="2">
        <v>4</v>
      </c>
      <c r="E60">
        <v>66.795000000000002</v>
      </c>
      <c r="F60" t="s">
        <v>24</v>
      </c>
      <c r="G60">
        <f t="shared" ref="G60:G67" si="14">E60-L60</f>
        <v>-44.504999999999995</v>
      </c>
      <c r="H60" s="1" t="s">
        <v>10</v>
      </c>
      <c r="K60" s="5">
        <f t="shared" si="8"/>
        <v>0.96</v>
      </c>
      <c r="L60">
        <v>111.3</v>
      </c>
      <c r="M60" t="s">
        <v>31</v>
      </c>
    </row>
    <row r="61" spans="1:13" x14ac:dyDescent="0.25">
      <c r="A61" s="1">
        <v>0.61458333333333304</v>
      </c>
      <c r="B61" s="2">
        <v>3</v>
      </c>
      <c r="C61" s="2">
        <v>4</v>
      </c>
      <c r="E61">
        <v>60.66</v>
      </c>
      <c r="F61" t="s">
        <v>24</v>
      </c>
      <c r="G61">
        <f t="shared" si="14"/>
        <v>-34.14</v>
      </c>
      <c r="H61" s="1" t="s">
        <v>10</v>
      </c>
      <c r="K61" s="5">
        <f t="shared" si="8"/>
        <v>0.96</v>
      </c>
      <c r="L61">
        <v>94.8</v>
      </c>
      <c r="M61" t="s">
        <v>31</v>
      </c>
    </row>
    <row r="62" spans="1:13" x14ac:dyDescent="0.25">
      <c r="A62" s="1">
        <v>0.625</v>
      </c>
      <c r="B62" s="2">
        <v>3</v>
      </c>
      <c r="C62" s="2">
        <v>4</v>
      </c>
      <c r="E62">
        <v>63.765000000000001</v>
      </c>
      <c r="F62" t="s">
        <v>24</v>
      </c>
      <c r="G62">
        <f t="shared" si="14"/>
        <v>-26.234999999999999</v>
      </c>
      <c r="H62" s="1" t="s">
        <v>10</v>
      </c>
      <c r="K62" s="5">
        <f t="shared" si="8"/>
        <v>0.96</v>
      </c>
      <c r="L62">
        <v>90</v>
      </c>
      <c r="M62" t="s">
        <v>31</v>
      </c>
    </row>
    <row r="63" spans="1:13" x14ac:dyDescent="0.25">
      <c r="A63" s="1">
        <v>0.63541666666666696</v>
      </c>
      <c r="B63" s="2">
        <v>3</v>
      </c>
      <c r="C63" s="2">
        <v>4</v>
      </c>
      <c r="E63">
        <v>63.480000000000004</v>
      </c>
      <c r="F63" t="s">
        <v>24</v>
      </c>
      <c r="G63">
        <f t="shared" si="14"/>
        <v>-22.769999999999996</v>
      </c>
      <c r="H63" s="1" t="s">
        <v>10</v>
      </c>
      <c r="K63" s="5">
        <f t="shared" si="8"/>
        <v>0.96</v>
      </c>
      <c r="L63">
        <v>86.25</v>
      </c>
      <c r="M63" t="s">
        <v>31</v>
      </c>
    </row>
    <row r="64" spans="1:13" x14ac:dyDescent="0.25">
      <c r="A64" s="1">
        <v>0.64583333333333304</v>
      </c>
      <c r="B64" s="2">
        <v>3</v>
      </c>
      <c r="C64" s="2">
        <v>4</v>
      </c>
      <c r="E64">
        <v>62.67</v>
      </c>
      <c r="F64" t="s">
        <v>24</v>
      </c>
      <c r="G64">
        <f t="shared" si="14"/>
        <v>-22.83</v>
      </c>
      <c r="H64" s="1" t="s">
        <v>10</v>
      </c>
      <c r="K64" s="5">
        <f t="shared" si="8"/>
        <v>0.96</v>
      </c>
      <c r="L64">
        <v>85.5</v>
      </c>
      <c r="M64" t="s">
        <v>31</v>
      </c>
    </row>
    <row r="65" spans="1:13" x14ac:dyDescent="0.25">
      <c r="A65" s="1">
        <v>0.65625</v>
      </c>
      <c r="B65" s="2">
        <v>3</v>
      </c>
      <c r="C65" s="2">
        <v>4</v>
      </c>
      <c r="E65">
        <v>62.550000000000004</v>
      </c>
      <c r="F65" t="s">
        <v>24</v>
      </c>
      <c r="G65">
        <f t="shared" si="14"/>
        <v>-20.399999999999999</v>
      </c>
      <c r="H65" s="1" t="s">
        <v>10</v>
      </c>
      <c r="K65" s="5">
        <f t="shared" si="8"/>
        <v>0.96</v>
      </c>
      <c r="L65">
        <v>82.95</v>
      </c>
      <c r="M65" t="s">
        <v>31</v>
      </c>
    </row>
    <row r="66" spans="1:13" x14ac:dyDescent="0.25">
      <c r="A66" s="1">
        <v>0.66666666666666696</v>
      </c>
      <c r="B66" s="2">
        <v>3</v>
      </c>
      <c r="C66" s="2">
        <v>4</v>
      </c>
      <c r="E66">
        <v>55.755000000000003</v>
      </c>
      <c r="F66" t="s">
        <v>24</v>
      </c>
      <c r="G66">
        <f t="shared" si="14"/>
        <v>-17.895000000000003</v>
      </c>
      <c r="H66" s="1" t="s">
        <v>10</v>
      </c>
      <c r="K66" s="5">
        <f t="shared" si="8"/>
        <v>0.96</v>
      </c>
      <c r="L66">
        <v>73.650000000000006</v>
      </c>
      <c r="M66" t="s">
        <v>31</v>
      </c>
    </row>
    <row r="67" spans="1:13" x14ac:dyDescent="0.25">
      <c r="A67" s="1">
        <v>0.67708333333333304</v>
      </c>
      <c r="B67" s="2">
        <v>3</v>
      </c>
      <c r="C67" s="2">
        <v>4</v>
      </c>
      <c r="E67">
        <v>59.429999999999993</v>
      </c>
      <c r="F67" t="s">
        <v>24</v>
      </c>
      <c r="G67">
        <f t="shared" si="14"/>
        <v>-4.1700000000000088</v>
      </c>
      <c r="H67" s="1" t="s">
        <v>10</v>
      </c>
      <c r="K67" s="5">
        <f t="shared" si="8"/>
        <v>0.96</v>
      </c>
      <c r="L67">
        <v>63.6</v>
      </c>
      <c r="M67" t="s">
        <v>31</v>
      </c>
    </row>
    <row r="68" spans="1:13" x14ac:dyDescent="0.25">
      <c r="A68" s="1">
        <v>0.6875</v>
      </c>
      <c r="B68" s="2">
        <v>1</v>
      </c>
      <c r="C68" s="2">
        <v>3</v>
      </c>
      <c r="E68">
        <v>56.37</v>
      </c>
      <c r="F68" t="s">
        <v>23</v>
      </c>
      <c r="G68">
        <f>E68-L68</f>
        <v>0.26999999999999602</v>
      </c>
      <c r="H68" s="1" t="s">
        <v>16</v>
      </c>
      <c r="K68" s="5">
        <f t="shared" si="8"/>
        <v>0.96</v>
      </c>
      <c r="L68">
        <v>56.1</v>
      </c>
      <c r="M68" t="s">
        <v>31</v>
      </c>
    </row>
    <row r="69" spans="1:13" x14ac:dyDescent="0.25">
      <c r="A69" s="1">
        <v>0.69791666666666696</v>
      </c>
      <c r="B69" s="2">
        <v>1</v>
      </c>
      <c r="C69" s="2">
        <v>3</v>
      </c>
      <c r="E69">
        <v>53.31</v>
      </c>
      <c r="F69" t="s">
        <v>23</v>
      </c>
      <c r="G69">
        <f t="shared" ref="G69:G88" si="15">E69-L69</f>
        <v>9.8100000000000023</v>
      </c>
      <c r="H69" s="1" t="s">
        <v>16</v>
      </c>
      <c r="K69" s="5">
        <f t="shared" si="8"/>
        <v>0.96</v>
      </c>
      <c r="L69">
        <v>43.5</v>
      </c>
      <c r="M69" t="s">
        <v>31</v>
      </c>
    </row>
    <row r="70" spans="1:13" x14ac:dyDescent="0.25">
      <c r="A70" s="1">
        <v>0.70833333333333304</v>
      </c>
      <c r="B70" s="2">
        <v>1</v>
      </c>
      <c r="C70" s="2">
        <v>3</v>
      </c>
      <c r="E70">
        <v>56.34</v>
      </c>
      <c r="F70" t="s">
        <v>23</v>
      </c>
      <c r="G70">
        <f t="shared" si="15"/>
        <v>18.240000000000002</v>
      </c>
      <c r="H70" s="1" t="s">
        <v>16</v>
      </c>
      <c r="K70" s="5">
        <f t="shared" si="8"/>
        <v>0.96</v>
      </c>
      <c r="L70">
        <v>38.1</v>
      </c>
      <c r="M70" t="s">
        <v>31</v>
      </c>
    </row>
    <row r="71" spans="1:13" x14ac:dyDescent="0.25">
      <c r="A71" s="1">
        <v>0.71875</v>
      </c>
      <c r="B71" s="2">
        <v>1</v>
      </c>
      <c r="C71" s="2">
        <v>3</v>
      </c>
      <c r="E71">
        <v>54.33</v>
      </c>
      <c r="F71" t="s">
        <v>23</v>
      </c>
      <c r="G71">
        <f t="shared" si="15"/>
        <v>19.829999999999998</v>
      </c>
      <c r="H71" s="1" t="s">
        <v>16</v>
      </c>
      <c r="K71" s="5">
        <f t="shared" si="8"/>
        <v>0.96</v>
      </c>
      <c r="L71">
        <v>34.5</v>
      </c>
      <c r="M71" t="s">
        <v>31</v>
      </c>
    </row>
    <row r="72" spans="1:13" x14ac:dyDescent="0.25">
      <c r="A72" s="1">
        <v>0.72916666666666696</v>
      </c>
      <c r="B72" s="2">
        <v>1</v>
      </c>
      <c r="C72" s="2">
        <v>3</v>
      </c>
      <c r="E72">
        <v>49.050000000000004</v>
      </c>
      <c r="F72" t="s">
        <v>23</v>
      </c>
      <c r="G72">
        <f t="shared" si="15"/>
        <v>22.200000000000003</v>
      </c>
      <c r="H72" s="1" t="s">
        <v>16</v>
      </c>
      <c r="K72" s="5">
        <f t="shared" si="8"/>
        <v>0.96</v>
      </c>
      <c r="L72">
        <v>26.85</v>
      </c>
      <c r="M72" t="s">
        <v>31</v>
      </c>
    </row>
    <row r="73" spans="1:13" x14ac:dyDescent="0.25">
      <c r="A73" s="1">
        <v>0.73958333333333304</v>
      </c>
      <c r="B73" s="2">
        <v>1</v>
      </c>
      <c r="C73" s="2">
        <v>3</v>
      </c>
      <c r="E73">
        <v>49.56</v>
      </c>
      <c r="F73" t="s">
        <v>23</v>
      </c>
      <c r="G73">
        <f t="shared" si="15"/>
        <v>27.060000000000002</v>
      </c>
      <c r="H73" s="1" t="s">
        <v>16</v>
      </c>
      <c r="K73" s="5">
        <f t="shared" si="8"/>
        <v>0.96</v>
      </c>
      <c r="L73">
        <v>22.5</v>
      </c>
      <c r="M73" t="s">
        <v>31</v>
      </c>
    </row>
    <row r="74" spans="1:13" x14ac:dyDescent="0.25">
      <c r="A74" s="1">
        <v>0.75</v>
      </c>
      <c r="B74" s="2">
        <v>1</v>
      </c>
      <c r="C74" s="2">
        <v>3</v>
      </c>
      <c r="E74">
        <v>44.835000000000001</v>
      </c>
      <c r="F74" t="s">
        <v>23</v>
      </c>
      <c r="G74">
        <f t="shared" si="15"/>
        <v>26.085000000000001</v>
      </c>
      <c r="H74" s="1" t="s">
        <v>16</v>
      </c>
      <c r="K74" s="5">
        <f t="shared" si="8"/>
        <v>0.96</v>
      </c>
      <c r="L74">
        <v>18.75</v>
      </c>
      <c r="M74" t="s">
        <v>31</v>
      </c>
    </row>
    <row r="75" spans="1:13" x14ac:dyDescent="0.25">
      <c r="A75" s="1">
        <v>0.76041666666666696</v>
      </c>
      <c r="B75" s="2">
        <v>1</v>
      </c>
      <c r="C75" s="2">
        <v>3</v>
      </c>
      <c r="E75">
        <v>43.230000000000004</v>
      </c>
      <c r="F75" t="s">
        <v>23</v>
      </c>
      <c r="G75">
        <f t="shared" si="15"/>
        <v>29.130000000000003</v>
      </c>
      <c r="H75" s="1" t="s">
        <v>16</v>
      </c>
      <c r="K75" s="5">
        <f t="shared" si="8"/>
        <v>0.96</v>
      </c>
      <c r="L75">
        <v>14.1</v>
      </c>
      <c r="M75" t="s">
        <v>31</v>
      </c>
    </row>
    <row r="76" spans="1:13" x14ac:dyDescent="0.25">
      <c r="A76" s="1">
        <v>0.77083333333333304</v>
      </c>
      <c r="B76" s="2">
        <v>1</v>
      </c>
      <c r="C76" s="2">
        <v>3</v>
      </c>
      <c r="E76">
        <v>38.910000000000004</v>
      </c>
      <c r="F76" t="s">
        <v>23</v>
      </c>
      <c r="G76">
        <f t="shared" si="15"/>
        <v>27.810000000000002</v>
      </c>
      <c r="H76" s="1" t="s">
        <v>16</v>
      </c>
      <c r="K76" s="5">
        <f t="shared" si="8"/>
        <v>0.96</v>
      </c>
      <c r="L76">
        <v>11.1</v>
      </c>
      <c r="M76" t="s">
        <v>31</v>
      </c>
    </row>
    <row r="77" spans="1:13" x14ac:dyDescent="0.25">
      <c r="A77" s="1">
        <v>0.78125</v>
      </c>
      <c r="B77" s="2">
        <v>1</v>
      </c>
      <c r="C77" s="2">
        <v>3</v>
      </c>
      <c r="E77">
        <v>40.71</v>
      </c>
      <c r="F77" t="s">
        <v>23</v>
      </c>
      <c r="G77">
        <f t="shared" si="15"/>
        <v>33.36</v>
      </c>
      <c r="H77" s="1" t="s">
        <v>16</v>
      </c>
      <c r="K77" s="5">
        <f t="shared" si="8"/>
        <v>0.96</v>
      </c>
      <c r="L77">
        <v>7.35</v>
      </c>
      <c r="M77" t="s">
        <v>31</v>
      </c>
    </row>
    <row r="78" spans="1:13" x14ac:dyDescent="0.25">
      <c r="A78" s="1">
        <v>0.79166666666666696</v>
      </c>
      <c r="B78" s="2">
        <v>3</v>
      </c>
      <c r="C78" s="2">
        <v>6</v>
      </c>
      <c r="E78">
        <v>32.055</v>
      </c>
      <c r="F78" t="s">
        <v>21</v>
      </c>
      <c r="G78">
        <f>E78-L78+I78</f>
        <v>0</v>
      </c>
      <c r="H78" s="1"/>
      <c r="I78">
        <f>L78-E78</f>
        <v>-28.754999999999999</v>
      </c>
      <c r="J78" t="s">
        <v>18</v>
      </c>
      <c r="K78" s="5">
        <f t="shared" si="8"/>
        <v>0.88811249999999997</v>
      </c>
      <c r="L78">
        <v>3.3</v>
      </c>
      <c r="M78" t="s">
        <v>31</v>
      </c>
    </row>
    <row r="79" spans="1:13" x14ac:dyDescent="0.25">
      <c r="A79" s="1">
        <v>0.80208333333333304</v>
      </c>
      <c r="B79" s="2">
        <v>3</v>
      </c>
      <c r="C79" s="2">
        <v>6</v>
      </c>
      <c r="E79">
        <v>33.674999999999997</v>
      </c>
      <c r="F79" t="s">
        <v>21</v>
      </c>
      <c r="G79">
        <f t="shared" ref="G79:G86" si="16">E79-L79+I79</f>
        <v>0</v>
      </c>
      <c r="H79" s="1"/>
      <c r="I79">
        <f t="shared" ref="I79:I86" si="17">L79-E79</f>
        <v>-31.274999999999999</v>
      </c>
      <c r="J79" t="s">
        <v>18</v>
      </c>
      <c r="K79" s="5">
        <f t="shared" si="8"/>
        <v>0.80992500000000001</v>
      </c>
      <c r="L79">
        <v>2.4</v>
      </c>
      <c r="M79" t="s">
        <v>31</v>
      </c>
    </row>
    <row r="80" spans="1:13" x14ac:dyDescent="0.25">
      <c r="A80" s="1">
        <v>0.8125</v>
      </c>
      <c r="B80" s="2">
        <v>3</v>
      </c>
      <c r="C80" s="2">
        <v>6</v>
      </c>
      <c r="E80">
        <v>32.61</v>
      </c>
      <c r="F80" t="s">
        <v>21</v>
      </c>
      <c r="G80">
        <f t="shared" si="16"/>
        <v>0</v>
      </c>
      <c r="H80" s="1"/>
      <c r="I80">
        <f t="shared" si="17"/>
        <v>-31.11</v>
      </c>
      <c r="J80" t="s">
        <v>18</v>
      </c>
      <c r="K80" s="5">
        <f t="shared" si="8"/>
        <v>0.73214999999999997</v>
      </c>
      <c r="L80">
        <v>1.5</v>
      </c>
      <c r="M80" t="s">
        <v>31</v>
      </c>
    </row>
    <row r="81" spans="1:13" x14ac:dyDescent="0.25">
      <c r="A81" s="1">
        <v>0.82291666666666696</v>
      </c>
      <c r="B81" s="2">
        <v>3</v>
      </c>
      <c r="C81" s="2">
        <v>6</v>
      </c>
      <c r="E81">
        <v>27.255000000000003</v>
      </c>
      <c r="F81" t="s">
        <v>21</v>
      </c>
      <c r="G81">
        <f t="shared" si="16"/>
        <v>0</v>
      </c>
      <c r="H81" s="1"/>
      <c r="I81">
        <f t="shared" si="17"/>
        <v>-26.355000000000004</v>
      </c>
      <c r="J81" t="s">
        <v>18</v>
      </c>
      <c r="K81" s="5">
        <f t="shared" si="8"/>
        <v>0.66626249999999998</v>
      </c>
      <c r="L81">
        <v>0.9</v>
      </c>
      <c r="M81" t="s">
        <v>31</v>
      </c>
    </row>
    <row r="82" spans="1:13" x14ac:dyDescent="0.25">
      <c r="A82" s="1">
        <v>0.83333333333333304</v>
      </c>
      <c r="B82" s="2">
        <v>6</v>
      </c>
      <c r="E82">
        <v>27.39</v>
      </c>
      <c r="F82" t="s">
        <v>21</v>
      </c>
      <c r="G82">
        <f t="shared" si="16"/>
        <v>0</v>
      </c>
      <c r="H82" s="1"/>
      <c r="I82">
        <f t="shared" si="17"/>
        <v>-27.39</v>
      </c>
      <c r="J82" t="s">
        <v>18</v>
      </c>
      <c r="K82" s="5">
        <f t="shared" si="8"/>
        <v>0.59778749999999992</v>
      </c>
      <c r="L82">
        <v>0</v>
      </c>
    </row>
    <row r="83" spans="1:13" x14ac:dyDescent="0.25">
      <c r="A83" s="1">
        <v>0.84375</v>
      </c>
      <c r="B83" s="2">
        <v>6</v>
      </c>
      <c r="E83">
        <v>26.130000000000003</v>
      </c>
      <c r="F83" t="s">
        <v>21</v>
      </c>
      <c r="G83">
        <f t="shared" si="16"/>
        <v>0</v>
      </c>
      <c r="H83" s="1"/>
      <c r="I83">
        <f t="shared" si="17"/>
        <v>-26.130000000000003</v>
      </c>
      <c r="J83" t="s">
        <v>18</v>
      </c>
      <c r="K83" s="5">
        <f t="shared" si="8"/>
        <v>0.53246249999999995</v>
      </c>
      <c r="L83">
        <v>0</v>
      </c>
    </row>
    <row r="84" spans="1:13" x14ac:dyDescent="0.25">
      <c r="A84" s="1">
        <v>0.85416666666666696</v>
      </c>
      <c r="B84" s="2">
        <v>6</v>
      </c>
      <c r="E84">
        <v>25.650000000000002</v>
      </c>
      <c r="F84" t="s">
        <v>21</v>
      </c>
      <c r="G84">
        <f t="shared" si="16"/>
        <v>0</v>
      </c>
      <c r="H84" s="1"/>
      <c r="I84">
        <f t="shared" si="17"/>
        <v>-25.650000000000002</v>
      </c>
      <c r="J84" t="s">
        <v>18</v>
      </c>
      <c r="K84" s="5">
        <f t="shared" si="8"/>
        <v>0.46833749999999996</v>
      </c>
      <c r="L84">
        <v>0</v>
      </c>
    </row>
    <row r="85" spans="1:13" x14ac:dyDescent="0.25">
      <c r="A85" s="1">
        <v>0.86458333333333304</v>
      </c>
      <c r="B85" s="2">
        <v>6</v>
      </c>
      <c r="E85">
        <v>24.630000000000003</v>
      </c>
      <c r="F85" t="s">
        <v>21</v>
      </c>
      <c r="G85">
        <f t="shared" si="16"/>
        <v>0</v>
      </c>
      <c r="H85" s="1"/>
      <c r="I85">
        <f t="shared" si="17"/>
        <v>-24.630000000000003</v>
      </c>
      <c r="J85" t="s">
        <v>18</v>
      </c>
      <c r="K85" s="5">
        <f t="shared" si="8"/>
        <v>0.40676249999999997</v>
      </c>
      <c r="L85">
        <v>0</v>
      </c>
    </row>
    <row r="86" spans="1:13" x14ac:dyDescent="0.25">
      <c r="A86" s="1">
        <v>0.875</v>
      </c>
      <c r="B86" s="2">
        <v>6</v>
      </c>
      <c r="E86">
        <v>21.72</v>
      </c>
      <c r="F86" t="s">
        <v>21</v>
      </c>
      <c r="G86">
        <f t="shared" si="16"/>
        <v>0</v>
      </c>
      <c r="H86" s="1"/>
      <c r="I86">
        <f t="shared" si="17"/>
        <v>-21.72</v>
      </c>
      <c r="J86" t="s">
        <v>18</v>
      </c>
      <c r="K86" s="5">
        <f t="shared" si="8"/>
        <v>0.35246249999999996</v>
      </c>
      <c r="L86">
        <v>0</v>
      </c>
    </row>
    <row r="87" spans="1:13" x14ac:dyDescent="0.25">
      <c r="A87" s="1">
        <v>0.88541666666666696</v>
      </c>
      <c r="B87" s="2">
        <v>1</v>
      </c>
      <c r="E87">
        <v>18.240000000000002</v>
      </c>
      <c r="F87" t="s">
        <v>22</v>
      </c>
      <c r="G87">
        <f t="shared" si="15"/>
        <v>18.240000000000002</v>
      </c>
      <c r="H87" s="1" t="s">
        <v>16</v>
      </c>
      <c r="K87" s="5">
        <f t="shared" si="8"/>
        <v>0.35246249999999996</v>
      </c>
      <c r="L87">
        <v>0</v>
      </c>
    </row>
    <row r="88" spans="1:13" x14ac:dyDescent="0.25">
      <c r="A88" s="1">
        <v>0.89583333333333304</v>
      </c>
      <c r="B88" s="2">
        <v>1</v>
      </c>
      <c r="E88">
        <v>17.46</v>
      </c>
      <c r="F88" t="s">
        <v>22</v>
      </c>
      <c r="G88">
        <f t="shared" si="15"/>
        <v>17.46</v>
      </c>
      <c r="H88" s="1" t="s">
        <v>16</v>
      </c>
      <c r="K88" s="5">
        <f t="shared" si="8"/>
        <v>0.35246249999999996</v>
      </c>
      <c r="L88">
        <v>0</v>
      </c>
    </row>
    <row r="89" spans="1:13" x14ac:dyDescent="0.25">
      <c r="A89" s="1">
        <v>0.90625</v>
      </c>
      <c r="B89" s="2">
        <v>1</v>
      </c>
      <c r="E89">
        <v>14.475000000000001</v>
      </c>
      <c r="F89" t="s">
        <v>22</v>
      </c>
      <c r="G89">
        <f t="shared" ref="G89" si="18">E89-L89</f>
        <v>14.475000000000001</v>
      </c>
      <c r="H89" s="1" t="s">
        <v>16</v>
      </c>
      <c r="K89" s="5">
        <f t="shared" si="8"/>
        <v>0.35246249999999996</v>
      </c>
      <c r="L89">
        <v>0</v>
      </c>
    </row>
    <row r="90" spans="1:13" x14ac:dyDescent="0.25">
      <c r="A90" s="1">
        <v>0.91666666666666696</v>
      </c>
      <c r="B90" s="2">
        <v>1</v>
      </c>
      <c r="C90" s="2">
        <v>2</v>
      </c>
      <c r="E90">
        <v>10.83</v>
      </c>
      <c r="F90" t="s">
        <v>22</v>
      </c>
      <c r="G90">
        <f t="shared" ref="G90:G97" si="19">E90-L90+I90</f>
        <v>72.83</v>
      </c>
      <c r="H90" s="1" t="s">
        <v>16</v>
      </c>
      <c r="I90">
        <v>62</v>
      </c>
      <c r="J90" t="s">
        <v>17</v>
      </c>
      <c r="K90" s="5">
        <f t="shared" si="8"/>
        <v>0.50746249999999993</v>
      </c>
      <c r="L90">
        <v>0</v>
      </c>
    </row>
    <row r="91" spans="1:13" x14ac:dyDescent="0.25">
      <c r="A91" s="1">
        <v>0.92708333333333304</v>
      </c>
      <c r="B91" s="2">
        <v>1</v>
      </c>
      <c r="C91" s="2">
        <v>2</v>
      </c>
      <c r="E91">
        <v>10.845000000000001</v>
      </c>
      <c r="F91" t="s">
        <v>22</v>
      </c>
      <c r="G91">
        <f t="shared" si="19"/>
        <v>66.844999999999999</v>
      </c>
      <c r="H91" s="1" t="s">
        <v>16</v>
      </c>
      <c r="I91">
        <v>56</v>
      </c>
      <c r="J91" t="s">
        <v>17</v>
      </c>
      <c r="K91" s="5">
        <f t="shared" si="8"/>
        <v>0.64746249999999994</v>
      </c>
      <c r="L91">
        <v>0</v>
      </c>
    </row>
    <row r="92" spans="1:13" x14ac:dyDescent="0.25">
      <c r="A92" s="1">
        <v>0.9375</v>
      </c>
      <c r="B92" s="2">
        <v>1</v>
      </c>
      <c r="C92" s="2">
        <v>2</v>
      </c>
      <c r="E92">
        <v>10.5</v>
      </c>
      <c r="F92" t="s">
        <v>22</v>
      </c>
      <c r="G92">
        <f t="shared" si="19"/>
        <v>71.5</v>
      </c>
      <c r="H92" s="1" t="s">
        <v>16</v>
      </c>
      <c r="I92">
        <v>61</v>
      </c>
      <c r="J92" t="s">
        <v>17</v>
      </c>
      <c r="K92" s="5">
        <f t="shared" si="8"/>
        <v>0.79996249999999991</v>
      </c>
      <c r="L92">
        <v>0</v>
      </c>
    </row>
    <row r="93" spans="1:13" x14ac:dyDescent="0.25">
      <c r="A93" s="1">
        <v>0.94791666666666696</v>
      </c>
      <c r="B93" s="2">
        <v>1</v>
      </c>
      <c r="C93" s="2">
        <v>2</v>
      </c>
      <c r="E93">
        <v>10.23</v>
      </c>
      <c r="F93" t="s">
        <v>22</v>
      </c>
      <c r="G93">
        <f t="shared" si="19"/>
        <v>69.23</v>
      </c>
      <c r="H93" s="1" t="s">
        <v>16</v>
      </c>
      <c r="I93">
        <v>59</v>
      </c>
      <c r="J93" t="s">
        <v>17</v>
      </c>
      <c r="K93" s="5">
        <f t="shared" si="8"/>
        <v>0.94746249999999987</v>
      </c>
      <c r="L93">
        <v>0</v>
      </c>
    </row>
    <row r="94" spans="1:13" x14ac:dyDescent="0.25">
      <c r="A94" s="1">
        <v>0.95833333333333304</v>
      </c>
      <c r="B94" s="2">
        <v>1</v>
      </c>
      <c r="E94">
        <v>9.7349999999999994</v>
      </c>
      <c r="F94" t="s">
        <v>22</v>
      </c>
      <c r="G94">
        <f t="shared" si="19"/>
        <v>9.7349999999999994</v>
      </c>
      <c r="H94" s="1" t="s">
        <v>16</v>
      </c>
      <c r="K94" s="5">
        <f t="shared" si="8"/>
        <v>0.94746249999999987</v>
      </c>
      <c r="L94">
        <v>0</v>
      </c>
    </row>
    <row r="95" spans="1:13" x14ac:dyDescent="0.25">
      <c r="A95" s="1">
        <v>0.96875</v>
      </c>
      <c r="B95" s="2">
        <v>1</v>
      </c>
      <c r="E95">
        <v>9.69</v>
      </c>
      <c r="F95" t="s">
        <v>22</v>
      </c>
      <c r="G95">
        <f t="shared" si="19"/>
        <v>9.69</v>
      </c>
      <c r="H95" s="1" t="s">
        <v>16</v>
      </c>
      <c r="K95" s="5">
        <f t="shared" si="8"/>
        <v>0.94746249999999987</v>
      </c>
      <c r="L95">
        <v>0</v>
      </c>
    </row>
    <row r="96" spans="1:13" x14ac:dyDescent="0.25">
      <c r="A96" s="1">
        <v>0.97916666666666696</v>
      </c>
      <c r="B96" s="2">
        <v>1</v>
      </c>
      <c r="E96">
        <v>8.0849999999999991</v>
      </c>
      <c r="F96" t="s">
        <v>22</v>
      </c>
      <c r="G96">
        <f t="shared" si="19"/>
        <v>8.0849999999999991</v>
      </c>
      <c r="H96" s="1" t="s">
        <v>16</v>
      </c>
      <c r="K96" s="5">
        <f t="shared" si="8"/>
        <v>0.94746249999999987</v>
      </c>
      <c r="L96">
        <v>0</v>
      </c>
    </row>
    <row r="97" spans="1:12" x14ac:dyDescent="0.25">
      <c r="A97" s="1">
        <v>0.98958333333333304</v>
      </c>
      <c r="B97" s="2">
        <v>1</v>
      </c>
      <c r="E97">
        <v>8.5500000000000007</v>
      </c>
      <c r="F97" t="s">
        <v>22</v>
      </c>
      <c r="G97">
        <f t="shared" si="19"/>
        <v>8.5500000000000007</v>
      </c>
      <c r="H97" s="1" t="s">
        <v>16</v>
      </c>
      <c r="K97" s="5">
        <f t="shared" si="8"/>
        <v>0.94746249999999987</v>
      </c>
      <c r="L97">
        <v>0</v>
      </c>
    </row>
    <row r="98" spans="1:12" x14ac:dyDescent="0.25">
      <c r="H9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E7"/>
  <sheetViews>
    <sheetView workbookViewId="0">
      <selection sqref="A1:E7"/>
    </sheetView>
  </sheetViews>
  <sheetFormatPr defaultRowHeight="15" x14ac:dyDescent="0.25"/>
  <cols>
    <col min="3" max="4" width="11.42578125" bestFit="1" customWidth="1"/>
  </cols>
  <sheetData>
    <row r="1" spans="1:5" x14ac:dyDescent="0.25">
      <c r="A1" t="s">
        <v>0</v>
      </c>
      <c r="B1" t="s">
        <v>4</v>
      </c>
      <c r="C1" t="s">
        <v>5</v>
      </c>
      <c r="D1" t="s">
        <v>6</v>
      </c>
      <c r="E1" t="s">
        <v>20</v>
      </c>
    </row>
    <row r="2" spans="1:5" x14ac:dyDescent="0.25">
      <c r="A2" s="2">
        <v>1</v>
      </c>
      <c r="B2" t="s">
        <v>1</v>
      </c>
      <c r="C2" t="s">
        <v>2</v>
      </c>
      <c r="D2" t="s">
        <v>3</v>
      </c>
    </row>
    <row r="3" spans="1:5" x14ac:dyDescent="0.25">
      <c r="A3" s="2">
        <v>2</v>
      </c>
      <c r="B3" t="s">
        <v>1</v>
      </c>
      <c r="C3" t="s">
        <v>2</v>
      </c>
      <c r="D3" t="s">
        <v>7</v>
      </c>
      <c r="E3" t="s">
        <v>8</v>
      </c>
    </row>
    <row r="4" spans="1:5" x14ac:dyDescent="0.25">
      <c r="A4" s="2">
        <v>3</v>
      </c>
      <c r="B4" t="s">
        <v>9</v>
      </c>
      <c r="C4" t="s">
        <v>7</v>
      </c>
      <c r="D4" t="s">
        <v>3</v>
      </c>
    </row>
    <row r="5" spans="1:5" x14ac:dyDescent="0.25">
      <c r="A5" s="2">
        <v>4</v>
      </c>
      <c r="B5" t="s">
        <v>9</v>
      </c>
      <c r="C5" t="s">
        <v>7</v>
      </c>
      <c r="D5" t="s">
        <v>2</v>
      </c>
      <c r="E5" t="s">
        <v>1</v>
      </c>
    </row>
    <row r="6" spans="1:5" x14ac:dyDescent="0.25">
      <c r="A6" s="2">
        <v>5</v>
      </c>
      <c r="B6" t="s">
        <v>9</v>
      </c>
      <c r="C6" t="s">
        <v>7</v>
      </c>
      <c r="D6" t="s">
        <v>8</v>
      </c>
    </row>
    <row r="7" spans="1:5" x14ac:dyDescent="0.25">
      <c r="A7" s="2">
        <v>6</v>
      </c>
      <c r="B7" t="s">
        <v>8</v>
      </c>
      <c r="C7" t="s">
        <v>7</v>
      </c>
      <c r="D7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2026-01-21T10:13:16Z</dcterms:modified>
</cp:coreProperties>
</file>