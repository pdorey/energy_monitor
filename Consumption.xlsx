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Code\EnergySite\energy_monitor\"/>
    </mc:Choice>
  </mc:AlternateContent>
  <xr:revisionPtr revIDLastSave="0" documentId="13_ncr:1_{EA6E4AE4-4A62-475A-9D32-C5D46C28016C}" xr6:coauthVersionLast="47" xr6:coauthVersionMax="47" xr10:uidLastSave="{00000000-0000-0000-0000-000000000000}"/>
  <bookViews>
    <workbookView xWindow="32595" yWindow="915" windowWidth="21600" windowHeight="13215" xr2:uid="{DBB553FB-9E8C-47FF-81A1-BDC0FE81551A}"/>
  </bookViews>
  <sheets>
    <sheet name="Consumption" sheetId="1" r:id="rId1"/>
    <sheet name="Paths" sheetId="2" r:id="rId2"/>
    <sheet name="Path Desc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7" i="1" l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G36" i="1"/>
  <c r="O36" i="1" s="1"/>
  <c r="G40" i="1"/>
  <c r="E85" i="1"/>
  <c r="G77" i="1"/>
  <c r="O77" i="1" s="1"/>
  <c r="G76" i="1"/>
  <c r="O76" i="1" s="1"/>
  <c r="G75" i="1"/>
  <c r="O75" i="1" s="1"/>
  <c r="E47" i="1"/>
  <c r="G37" i="1" l="1"/>
  <c r="E43" i="1"/>
  <c r="M43" i="1" s="1"/>
  <c r="E41" i="1"/>
  <c r="M41" i="1" s="1"/>
  <c r="G39" i="1"/>
  <c r="O39" i="1" s="1"/>
  <c r="G38" i="1"/>
  <c r="O38" i="1" s="1"/>
  <c r="L97" i="1"/>
  <c r="E97" i="1"/>
  <c r="M97" i="1" s="1"/>
  <c r="L96" i="1"/>
  <c r="E96" i="1"/>
  <c r="M96" i="1" s="1"/>
  <c r="L95" i="1"/>
  <c r="E95" i="1"/>
  <c r="M95" i="1" s="1"/>
  <c r="L94" i="1"/>
  <c r="E94" i="1"/>
  <c r="M94" i="1" s="1"/>
  <c r="L93" i="1"/>
  <c r="E93" i="1"/>
  <c r="M93" i="1" s="1"/>
  <c r="L92" i="1"/>
  <c r="E92" i="1"/>
  <c r="M92" i="1" s="1"/>
  <c r="L91" i="1"/>
  <c r="E91" i="1"/>
  <c r="M91" i="1" s="1"/>
  <c r="L90" i="1"/>
  <c r="E90" i="1"/>
  <c r="M90" i="1" s="1"/>
  <c r="L89" i="1"/>
  <c r="E89" i="1"/>
  <c r="M89" i="1" s="1"/>
  <c r="L88" i="1"/>
  <c r="E88" i="1"/>
  <c r="M88" i="1" s="1"/>
  <c r="L87" i="1"/>
  <c r="E87" i="1"/>
  <c r="M87" i="1" s="1"/>
  <c r="L86" i="1"/>
  <c r="L85" i="1"/>
  <c r="L84" i="1"/>
  <c r="L83" i="1"/>
  <c r="L82" i="1"/>
  <c r="G82" i="1"/>
  <c r="L81" i="1"/>
  <c r="G81" i="1"/>
  <c r="L80" i="1"/>
  <c r="G80" i="1"/>
  <c r="O80" i="1" s="1"/>
  <c r="E80" i="1"/>
  <c r="M80" i="1" s="1"/>
  <c r="L79" i="1"/>
  <c r="G79" i="1"/>
  <c r="O79" i="1" s="1"/>
  <c r="L78" i="1"/>
  <c r="G78" i="1"/>
  <c r="O78" i="1" s="1"/>
  <c r="L77" i="1"/>
  <c r="E77" i="1"/>
  <c r="M77" i="1" s="1"/>
  <c r="L76" i="1"/>
  <c r="E76" i="1"/>
  <c r="M76" i="1" s="1"/>
  <c r="L75" i="1"/>
  <c r="E75" i="1"/>
  <c r="M75" i="1" s="1"/>
  <c r="L74" i="1"/>
  <c r="E74" i="1"/>
  <c r="M74" i="1" s="1"/>
  <c r="L73" i="1"/>
  <c r="E73" i="1"/>
  <c r="M73" i="1" s="1"/>
  <c r="L72" i="1"/>
  <c r="E72" i="1"/>
  <c r="M72" i="1" s="1"/>
  <c r="L71" i="1"/>
  <c r="E71" i="1"/>
  <c r="M71" i="1" s="1"/>
  <c r="L70" i="1"/>
  <c r="E70" i="1"/>
  <c r="M70" i="1" s="1"/>
  <c r="L69" i="1"/>
  <c r="E69" i="1"/>
  <c r="M69" i="1" s="1"/>
  <c r="L68" i="1"/>
  <c r="E68" i="1"/>
  <c r="M68" i="1" s="1"/>
  <c r="L67" i="1"/>
  <c r="E67" i="1"/>
  <c r="M67" i="1" s="1"/>
  <c r="L66" i="1"/>
  <c r="E66" i="1"/>
  <c r="M66" i="1" s="1"/>
  <c r="L65" i="1"/>
  <c r="E65" i="1"/>
  <c r="M65" i="1" s="1"/>
  <c r="L64" i="1"/>
  <c r="E64" i="1"/>
  <c r="M64" i="1" s="1"/>
  <c r="L63" i="1"/>
  <c r="E63" i="1"/>
  <c r="M63" i="1" s="1"/>
  <c r="L62" i="1"/>
  <c r="E62" i="1"/>
  <c r="M62" i="1" s="1"/>
  <c r="L61" i="1"/>
  <c r="E61" i="1"/>
  <c r="M61" i="1" s="1"/>
  <c r="L60" i="1"/>
  <c r="E60" i="1"/>
  <c r="M60" i="1" s="1"/>
  <c r="L59" i="1"/>
  <c r="E59" i="1"/>
  <c r="M59" i="1" s="1"/>
  <c r="L58" i="1"/>
  <c r="E58" i="1"/>
  <c r="M58" i="1" s="1"/>
  <c r="L57" i="1"/>
  <c r="E57" i="1"/>
  <c r="M57" i="1" s="1"/>
  <c r="L56" i="1"/>
  <c r="E56" i="1"/>
  <c r="M56" i="1" s="1"/>
  <c r="L55" i="1"/>
  <c r="L54" i="1"/>
  <c r="L53" i="1"/>
  <c r="E53" i="1"/>
  <c r="M53" i="1" s="1"/>
  <c r="L52" i="1"/>
  <c r="E52" i="1"/>
  <c r="M52" i="1" s="1"/>
  <c r="L51" i="1"/>
  <c r="E51" i="1"/>
  <c r="M51" i="1" s="1"/>
  <c r="L50" i="1"/>
  <c r="E50" i="1"/>
  <c r="M50" i="1" s="1"/>
  <c r="L49" i="1"/>
  <c r="E49" i="1"/>
  <c r="M49" i="1" s="1"/>
  <c r="L48" i="1"/>
  <c r="E48" i="1"/>
  <c r="M48" i="1" s="1"/>
  <c r="L47" i="1"/>
  <c r="M47" i="1"/>
  <c r="L46" i="1"/>
  <c r="E46" i="1"/>
  <c r="M46" i="1" s="1"/>
  <c r="L45" i="1"/>
  <c r="E45" i="1"/>
  <c r="M45" i="1" s="1"/>
  <c r="L44" i="1"/>
  <c r="E44" i="1"/>
  <c r="M44" i="1" s="1"/>
  <c r="L43" i="1"/>
  <c r="L42" i="1"/>
  <c r="L41" i="1"/>
  <c r="L40" i="1"/>
  <c r="L39" i="1"/>
  <c r="L38" i="1"/>
  <c r="L37" i="1"/>
  <c r="L36" i="1"/>
  <c r="L35" i="1"/>
  <c r="E35" i="1"/>
  <c r="M35" i="1" s="1"/>
  <c r="L34" i="1"/>
  <c r="E34" i="1"/>
  <c r="M34" i="1" s="1"/>
  <c r="L33" i="1"/>
  <c r="E33" i="1"/>
  <c r="M33" i="1" s="1"/>
  <c r="L32" i="1"/>
  <c r="E32" i="1"/>
  <c r="M32" i="1" s="1"/>
  <c r="L31" i="1"/>
  <c r="E31" i="1"/>
  <c r="M31" i="1" s="1"/>
  <c r="L30" i="1"/>
  <c r="E30" i="1"/>
  <c r="M30" i="1" s="1"/>
  <c r="L29" i="1"/>
  <c r="E29" i="1"/>
  <c r="M29" i="1" s="1"/>
  <c r="L28" i="1"/>
  <c r="E28" i="1"/>
  <c r="M28" i="1" s="1"/>
  <c r="L27" i="1"/>
  <c r="E27" i="1"/>
  <c r="M27" i="1" s="1"/>
  <c r="L26" i="1"/>
  <c r="E26" i="1"/>
  <c r="M26" i="1" s="1"/>
  <c r="L25" i="1"/>
  <c r="E25" i="1"/>
  <c r="M25" i="1" s="1"/>
  <c r="L24" i="1"/>
  <c r="E24" i="1"/>
  <c r="M24" i="1" s="1"/>
  <c r="L23" i="1"/>
  <c r="E23" i="1"/>
  <c r="M23" i="1" s="1"/>
  <c r="L22" i="1"/>
  <c r="E22" i="1"/>
  <c r="M22" i="1" s="1"/>
  <c r="L21" i="1"/>
  <c r="E21" i="1"/>
  <c r="M21" i="1" s="1"/>
  <c r="L20" i="1"/>
  <c r="E20" i="1"/>
  <c r="M20" i="1" s="1"/>
  <c r="L19" i="1"/>
  <c r="E19" i="1"/>
  <c r="M19" i="1" s="1"/>
  <c r="L18" i="1"/>
  <c r="E18" i="1"/>
  <c r="M18" i="1" s="1"/>
  <c r="L17" i="1"/>
  <c r="E17" i="1"/>
  <c r="M17" i="1" s="1"/>
  <c r="L16" i="1"/>
  <c r="E16" i="1"/>
  <c r="M16" i="1" s="1"/>
  <c r="L15" i="1"/>
  <c r="E15" i="1"/>
  <c r="M15" i="1" s="1"/>
  <c r="L14" i="1"/>
  <c r="E14" i="1"/>
  <c r="M14" i="1" s="1"/>
  <c r="L13" i="1"/>
  <c r="E13" i="1"/>
  <c r="M13" i="1" s="1"/>
  <c r="L12" i="1"/>
  <c r="E12" i="1"/>
  <c r="L11" i="1"/>
  <c r="E11" i="1"/>
  <c r="M11" i="1" s="1"/>
  <c r="L10" i="1"/>
  <c r="E10" i="1"/>
  <c r="M10" i="1" s="1"/>
  <c r="L9" i="1"/>
  <c r="E9" i="1"/>
  <c r="M9" i="1" s="1"/>
  <c r="L8" i="1"/>
  <c r="E8" i="1"/>
  <c r="M8" i="1" s="1"/>
  <c r="L7" i="1"/>
  <c r="E7" i="1"/>
  <c r="M7" i="1" s="1"/>
  <c r="L6" i="1"/>
  <c r="E6" i="1"/>
  <c r="M6" i="1" s="1"/>
  <c r="L5" i="1"/>
  <c r="E5" i="1"/>
  <c r="M5" i="1" s="1"/>
  <c r="L4" i="1"/>
  <c r="E4" i="1"/>
  <c r="M4" i="1" s="1"/>
  <c r="L3" i="1"/>
  <c r="E3" i="1"/>
  <c r="M3" i="1" s="1"/>
  <c r="N2" i="1"/>
  <c r="L2" i="1"/>
  <c r="E81" i="1" l="1"/>
  <c r="M81" i="1" s="1"/>
  <c r="O81" i="1"/>
  <c r="E82" i="1"/>
  <c r="M82" i="1" s="1"/>
  <c r="O82" i="1"/>
  <c r="E79" i="1"/>
  <c r="M79" i="1" s="1"/>
  <c r="E37" i="1"/>
  <c r="M37" i="1" s="1"/>
  <c r="O37" i="1"/>
  <c r="E38" i="1"/>
  <c r="M38" i="1" s="1"/>
  <c r="E84" i="1"/>
  <c r="M84" i="1" s="1"/>
  <c r="E39" i="1"/>
  <c r="M39" i="1" s="1"/>
  <c r="E55" i="1"/>
  <c r="M55" i="1" s="1"/>
  <c r="E42" i="1"/>
  <c r="M42" i="1" s="1"/>
  <c r="E36" i="1"/>
  <c r="M36" i="1" s="1"/>
  <c r="E78" i="1"/>
  <c r="M78" i="1" s="1"/>
  <c r="M85" i="1"/>
  <c r="M12" i="1"/>
  <c r="E86" i="1"/>
  <c r="M86" i="1" s="1"/>
  <c r="E40" i="1"/>
  <c r="M40" i="1" s="1"/>
  <c r="E54" i="1"/>
  <c r="M54" i="1" s="1"/>
  <c r="E83" i="1"/>
  <c r="M83" i="1" s="1"/>
  <c r="E2" i="1"/>
  <c r="M2" i="1" s="1"/>
  <c r="I3" i="1" l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I62" i="1" s="1"/>
  <c r="I63" i="1" s="1"/>
  <c r="I64" i="1" s="1"/>
  <c r="I65" i="1" s="1"/>
  <c r="I66" i="1" s="1"/>
  <c r="I67" i="1" s="1"/>
  <c r="I68" i="1" s="1"/>
  <c r="I69" i="1" s="1"/>
  <c r="I70" i="1" s="1"/>
  <c r="I71" i="1" s="1"/>
  <c r="I72" i="1" s="1"/>
  <c r="I73" i="1" s="1"/>
  <c r="I74" i="1" s="1"/>
  <c r="I75" i="1" s="1"/>
  <c r="I76" i="1" s="1"/>
  <c r="I77" i="1" s="1"/>
  <c r="I78" i="1" s="1"/>
  <c r="I79" i="1" s="1"/>
  <c r="I80" i="1" s="1"/>
  <c r="I81" i="1" s="1"/>
  <c r="I82" i="1" s="1"/>
  <c r="I83" i="1" s="1"/>
  <c r="I84" i="1" s="1"/>
  <c r="I85" i="1" s="1"/>
  <c r="I86" i="1" s="1"/>
  <c r="I87" i="1" s="1"/>
  <c r="I88" i="1" s="1"/>
  <c r="I89" i="1" s="1"/>
  <c r="I90" i="1" s="1"/>
  <c r="I91" i="1" s="1"/>
  <c r="I92" i="1" s="1"/>
  <c r="I93" i="1" s="1"/>
  <c r="I94" i="1" s="1"/>
  <c r="I95" i="1" s="1"/>
  <c r="I96" i="1" s="1"/>
  <c r="I97" i="1" s="1"/>
</calcChain>
</file>

<file path=xl/sharedStrings.xml><?xml version="1.0" encoding="utf-8"?>
<sst xmlns="http://schemas.openxmlformats.org/spreadsheetml/2006/main" count="1097" uniqueCount="66">
  <si>
    <t>Exporting</t>
  </si>
  <si>
    <t>GRID PWR</t>
  </si>
  <si>
    <t>BATTERY PWR</t>
  </si>
  <si>
    <t>Importing</t>
  </si>
  <si>
    <t>Charging</t>
  </si>
  <si>
    <t>Discharging</t>
  </si>
  <si>
    <t>TIME</t>
  </si>
  <si>
    <t>Battery only</t>
  </si>
  <si>
    <t>Grid only</t>
  </si>
  <si>
    <t>Grid + solar</t>
  </si>
  <si>
    <t>Solar only</t>
  </si>
  <si>
    <t>BUILDING LOAD PWR</t>
  </si>
  <si>
    <t>BUILDING LOAD LABEL</t>
  </si>
  <si>
    <t>GRID LABEL</t>
  </si>
  <si>
    <t>BATTERY LABEL</t>
  </si>
  <si>
    <t>SOLAR PWR</t>
  </si>
  <si>
    <t>SOLAR LABEL</t>
  </si>
  <si>
    <t>Active</t>
  </si>
  <si>
    <t>BATTERY SOC</t>
  </si>
  <si>
    <t>Battery + solar</t>
  </si>
  <si>
    <t>from</t>
  </si>
  <si>
    <t>to</t>
  </si>
  <si>
    <t>status</t>
  </si>
  <si>
    <t>grid</t>
  </si>
  <si>
    <t>inverter</t>
  </si>
  <si>
    <t>battery</t>
  </si>
  <si>
    <t>building</t>
  </si>
  <si>
    <t>PATH</t>
  </si>
  <si>
    <t>active</t>
  </si>
  <si>
    <t>inactive</t>
  </si>
  <si>
    <t>solar</t>
  </si>
  <si>
    <t>a</t>
  </si>
  <si>
    <t>b</t>
  </si>
  <si>
    <t>c</t>
  </si>
  <si>
    <t>d</t>
  </si>
  <si>
    <t>e</t>
  </si>
  <si>
    <t>f</t>
  </si>
  <si>
    <t>g</t>
  </si>
  <si>
    <t>lineColor</t>
  </si>
  <si>
    <t>red</t>
  </si>
  <si>
    <t>source</t>
  </si>
  <si>
    <t>solar_pwr</t>
  </si>
  <si>
    <t>grid_pwr</t>
  </si>
  <si>
    <t>yellow</t>
  </si>
  <si>
    <t>green</t>
  </si>
  <si>
    <t>battery_pwr</t>
  </si>
  <si>
    <t>Inactive</t>
  </si>
  <si>
    <t>Idle</t>
  </si>
  <si>
    <t>GRID ENERGY</t>
  </si>
  <si>
    <t>BUILDING CONSUMPTION</t>
  </si>
  <si>
    <t>GRID</t>
  </si>
  <si>
    <t>SOLAR</t>
  </si>
  <si>
    <t>BATTERY</t>
  </si>
  <si>
    <t>TARIFF</t>
  </si>
  <si>
    <t>Low</t>
  </si>
  <si>
    <t>Super Low</t>
  </si>
  <si>
    <t>Mid</t>
  </si>
  <si>
    <t>Peak</t>
  </si>
  <si>
    <t>EXPORT PRICE</t>
  </si>
  <si>
    <t>SPOT PRICE</t>
  </si>
  <si>
    <t>METER</t>
  </si>
  <si>
    <t>BUILDING</t>
  </si>
  <si>
    <t>INVERTER</t>
  </si>
  <si>
    <t>SOLAR PRODUCTION</t>
  </si>
  <si>
    <t>gateway</t>
  </si>
  <si>
    <t>GATEWAY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</si>
</sst>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9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683D1-0F20-4AA9-8E66-4B04E80D1FD0}">
  <dimension ref="A1:R98"/>
  <sheetViews>
    <sheetView tabSelected="1" zoomScale="85" zoomScaleNormal="85" workbookViewId="0">
      <pane ySplit="1" topLeftCell="A2" activePane="bottomLeft" state="frozenSplit"/>
      <selection pane="bottomLeft" activeCell="N13" sqref="N13"/>
    </sheetView>
  </sheetViews>
  <sheetFormatPr defaultRowHeight="15" x14ac:dyDescent="0.25"/>
  <cols>
    <col min="2" max="2" width="9.140625" style="2"/>
    <col min="3" max="3" width="11" customWidth="1"/>
    <col min="4" max="4" width="13" customWidth="1"/>
    <col min="5" max="6" width="11" customWidth="1"/>
    <col min="8" max="8" width="11.5703125" bestFit="1" customWidth="1"/>
    <col min="9" max="9" width="11.5703125" customWidth="1"/>
    <col min="12" max="12" width="14.5703125" bestFit="1" customWidth="1"/>
    <col min="13" max="13" width="11.7109375" customWidth="1"/>
    <col min="14" max="14" width="12.85546875" customWidth="1"/>
    <col min="17" max="17" width="10.42578125" style="2" customWidth="1"/>
  </cols>
  <sheetData>
    <row r="1" spans="1:18" ht="30" x14ac:dyDescent="0.25">
      <c r="A1" s="9" t="s">
        <v>6</v>
      </c>
      <c r="B1" s="4" t="s">
        <v>27</v>
      </c>
      <c r="C1" s="3" t="s">
        <v>11</v>
      </c>
      <c r="D1" s="3" t="s">
        <v>12</v>
      </c>
      <c r="E1" s="3" t="s">
        <v>1</v>
      </c>
      <c r="F1" s="3" t="s">
        <v>13</v>
      </c>
      <c r="G1" s="3" t="s">
        <v>2</v>
      </c>
      <c r="H1" s="3" t="s">
        <v>14</v>
      </c>
      <c r="I1" s="3" t="s">
        <v>18</v>
      </c>
      <c r="J1" s="3" t="s">
        <v>15</v>
      </c>
      <c r="K1" s="3" t="s">
        <v>16</v>
      </c>
      <c r="L1" s="3" t="s">
        <v>49</v>
      </c>
      <c r="M1" s="3" t="s">
        <v>48</v>
      </c>
      <c r="N1" s="3" t="s">
        <v>63</v>
      </c>
      <c r="O1" s="3" t="s">
        <v>52</v>
      </c>
      <c r="P1" s="3" t="s">
        <v>59</v>
      </c>
      <c r="Q1" s="4" t="s">
        <v>53</v>
      </c>
      <c r="R1" s="3" t="s">
        <v>58</v>
      </c>
    </row>
    <row r="2" spans="1:18" x14ac:dyDescent="0.25">
      <c r="A2" s="1">
        <v>0</v>
      </c>
      <c r="B2" s="2" t="s">
        <v>31</v>
      </c>
      <c r="C2">
        <v>7.6050000000000004</v>
      </c>
      <c r="D2" t="s">
        <v>7</v>
      </c>
      <c r="E2" s="11">
        <f>C2-J2+G2</f>
        <v>7.6050000000000004</v>
      </c>
      <c r="F2" t="s">
        <v>3</v>
      </c>
      <c r="G2">
        <v>0</v>
      </c>
      <c r="H2" t="s">
        <v>47</v>
      </c>
      <c r="I2" s="5">
        <v>0.23</v>
      </c>
      <c r="J2" s="10">
        <v>0</v>
      </c>
      <c r="K2" t="s">
        <v>46</v>
      </c>
      <c r="L2" s="10">
        <f>C2*0.25</f>
        <v>1.9012500000000001</v>
      </c>
      <c r="M2" s="10">
        <f>E2*0.25</f>
        <v>1.9012500000000001</v>
      </c>
      <c r="N2" s="10">
        <f>J2*0.25</f>
        <v>0</v>
      </c>
      <c r="O2" s="10">
        <f>IF(G2&lt;0,ABS(G2)*0.25,0)</f>
        <v>0</v>
      </c>
      <c r="P2">
        <v>4.8000000000000001E-2</v>
      </c>
      <c r="Q2" s="2" t="s">
        <v>54</v>
      </c>
      <c r="R2">
        <v>3.5999999999999997E-2</v>
      </c>
    </row>
    <row r="3" spans="1:18" x14ac:dyDescent="0.25">
      <c r="A3" s="1">
        <v>1.0416666666666666E-2</v>
      </c>
      <c r="B3" s="2" t="s">
        <v>31</v>
      </c>
      <c r="C3">
        <v>7.7099999999999991</v>
      </c>
      <c r="D3" t="s">
        <v>7</v>
      </c>
      <c r="E3" s="11">
        <f t="shared" ref="E3:E66" si="0">C3-J3+G3</f>
        <v>7.7099999999999991</v>
      </c>
      <c r="F3" t="s">
        <v>3</v>
      </c>
      <c r="G3">
        <v>0</v>
      </c>
      <c r="H3" t="s">
        <v>47</v>
      </c>
      <c r="I3" s="5">
        <f>I2+G3*0.5%</f>
        <v>0.23</v>
      </c>
      <c r="J3" s="10">
        <v>0</v>
      </c>
      <c r="K3" t="s">
        <v>46</v>
      </c>
      <c r="L3" s="10">
        <f t="shared" ref="L3:L66" si="1">C3*0.25</f>
        <v>1.9274999999999998</v>
      </c>
      <c r="M3" s="10">
        <f t="shared" ref="M3:M66" si="2">E3*0.25</f>
        <v>1.9274999999999998</v>
      </c>
      <c r="N3" s="10">
        <f>J3*0.25</f>
        <v>0</v>
      </c>
      <c r="O3" s="10">
        <f t="shared" ref="O3:O66" si="3">IF(G3&lt;0,ABS(G3)*0.25,0)</f>
        <v>0</v>
      </c>
      <c r="P3">
        <v>4.8000000000000001E-2</v>
      </c>
      <c r="Q3" s="2" t="s">
        <v>54</v>
      </c>
      <c r="R3">
        <v>3.5999999999999997E-2</v>
      </c>
    </row>
    <row r="4" spans="1:18" x14ac:dyDescent="0.25">
      <c r="A4" s="1">
        <v>2.0833333333333301E-2</v>
      </c>
      <c r="B4" s="2" t="s">
        <v>31</v>
      </c>
      <c r="C4">
        <v>7.0649999999999995</v>
      </c>
      <c r="D4" t="s">
        <v>7</v>
      </c>
      <c r="E4" s="11">
        <f t="shared" si="0"/>
        <v>7.0649999999999995</v>
      </c>
      <c r="F4" t="s">
        <v>3</v>
      </c>
      <c r="G4">
        <v>0</v>
      </c>
      <c r="H4" t="s">
        <v>47</v>
      </c>
      <c r="I4" s="5">
        <f t="shared" ref="I4:I50" si="4">I3+G4*0.5%</f>
        <v>0.23</v>
      </c>
      <c r="J4" s="10">
        <v>0</v>
      </c>
      <c r="K4" t="s">
        <v>46</v>
      </c>
      <c r="L4" s="10">
        <f t="shared" si="1"/>
        <v>1.7662499999999999</v>
      </c>
      <c r="M4" s="10">
        <f t="shared" si="2"/>
        <v>1.7662499999999999</v>
      </c>
      <c r="N4" s="10">
        <f t="shared" ref="N4:N67" si="5">J4*0.25</f>
        <v>0</v>
      </c>
      <c r="O4" s="10">
        <f t="shared" si="3"/>
        <v>0</v>
      </c>
      <c r="P4">
        <v>4.7E-2</v>
      </c>
      <c r="Q4" s="2" t="s">
        <v>54</v>
      </c>
      <c r="R4">
        <v>3.5999999999999997E-2</v>
      </c>
    </row>
    <row r="5" spans="1:18" x14ac:dyDescent="0.25">
      <c r="A5" s="1">
        <v>3.125E-2</v>
      </c>
      <c r="B5" s="2" t="s">
        <v>31</v>
      </c>
      <c r="C5">
        <v>8.2349999999999994</v>
      </c>
      <c r="D5" t="s">
        <v>7</v>
      </c>
      <c r="E5" s="11">
        <f t="shared" si="0"/>
        <v>8.2349999999999994</v>
      </c>
      <c r="F5" t="s">
        <v>3</v>
      </c>
      <c r="G5">
        <v>0</v>
      </c>
      <c r="H5" t="s">
        <v>47</v>
      </c>
      <c r="I5" s="5">
        <f t="shared" si="4"/>
        <v>0.23</v>
      </c>
      <c r="J5" s="10">
        <v>0</v>
      </c>
      <c r="K5" t="s">
        <v>46</v>
      </c>
      <c r="L5" s="10">
        <f t="shared" si="1"/>
        <v>2.0587499999999999</v>
      </c>
      <c r="M5" s="10">
        <f t="shared" si="2"/>
        <v>2.0587499999999999</v>
      </c>
      <c r="N5" s="10">
        <f t="shared" si="5"/>
        <v>0</v>
      </c>
      <c r="O5" s="10">
        <f t="shared" si="3"/>
        <v>0</v>
      </c>
      <c r="P5">
        <v>4.7E-2</v>
      </c>
      <c r="Q5" s="2" t="s">
        <v>54</v>
      </c>
      <c r="R5">
        <v>3.5200000000000002E-2</v>
      </c>
    </row>
    <row r="6" spans="1:18" x14ac:dyDescent="0.25">
      <c r="A6" s="1">
        <v>4.1666666666666699E-2</v>
      </c>
      <c r="B6" s="2" t="s">
        <v>31</v>
      </c>
      <c r="C6">
        <v>7.17</v>
      </c>
      <c r="D6" t="s">
        <v>7</v>
      </c>
      <c r="E6" s="11">
        <f t="shared" si="0"/>
        <v>7.17</v>
      </c>
      <c r="F6" t="s">
        <v>3</v>
      </c>
      <c r="G6">
        <v>0</v>
      </c>
      <c r="H6" t="s">
        <v>47</v>
      </c>
      <c r="I6" s="5">
        <f t="shared" si="4"/>
        <v>0.23</v>
      </c>
      <c r="J6" s="10">
        <v>0</v>
      </c>
      <c r="K6" t="s">
        <v>46</v>
      </c>
      <c r="L6" s="10">
        <f t="shared" si="1"/>
        <v>1.7925</v>
      </c>
      <c r="M6" s="10">
        <f t="shared" si="2"/>
        <v>1.7925</v>
      </c>
      <c r="N6" s="10">
        <f t="shared" si="5"/>
        <v>0</v>
      </c>
      <c r="O6" s="10">
        <f t="shared" si="3"/>
        <v>0</v>
      </c>
      <c r="P6">
        <v>4.5999999999999999E-2</v>
      </c>
      <c r="Q6" s="2" t="s">
        <v>54</v>
      </c>
      <c r="R6">
        <v>3.5200000000000002E-2</v>
      </c>
    </row>
    <row r="7" spans="1:18" x14ac:dyDescent="0.25">
      <c r="A7" s="1">
        <v>5.2083333333333301E-2</v>
      </c>
      <c r="B7" s="2" t="s">
        <v>31</v>
      </c>
      <c r="C7">
        <v>7.4700000000000006</v>
      </c>
      <c r="D7" t="s">
        <v>8</v>
      </c>
      <c r="E7" s="11">
        <f t="shared" si="0"/>
        <v>7.4700000000000006</v>
      </c>
      <c r="F7" t="s">
        <v>3</v>
      </c>
      <c r="G7">
        <v>0</v>
      </c>
      <c r="H7" t="s">
        <v>47</v>
      </c>
      <c r="I7" s="5">
        <f t="shared" si="4"/>
        <v>0.23</v>
      </c>
      <c r="J7" s="10">
        <v>0</v>
      </c>
      <c r="K7" t="s">
        <v>46</v>
      </c>
      <c r="L7" s="10">
        <f t="shared" si="1"/>
        <v>1.8675000000000002</v>
      </c>
      <c r="M7" s="10">
        <f t="shared" si="2"/>
        <v>1.8675000000000002</v>
      </c>
      <c r="N7" s="10">
        <f t="shared" si="5"/>
        <v>0</v>
      </c>
      <c r="O7" s="10">
        <f t="shared" si="3"/>
        <v>0</v>
      </c>
      <c r="P7">
        <v>4.5999999999999999E-2</v>
      </c>
      <c r="Q7" s="2" t="s">
        <v>54</v>
      </c>
      <c r="R7">
        <v>3.5200000000000002E-2</v>
      </c>
    </row>
    <row r="8" spans="1:18" x14ac:dyDescent="0.25">
      <c r="A8" s="1">
        <v>6.25E-2</v>
      </c>
      <c r="B8" s="2" t="s">
        <v>31</v>
      </c>
      <c r="C8">
        <v>7.875</v>
      </c>
      <c r="D8" t="s">
        <v>8</v>
      </c>
      <c r="E8" s="11">
        <f t="shared" si="0"/>
        <v>7.875</v>
      </c>
      <c r="F8" t="s">
        <v>3</v>
      </c>
      <c r="G8">
        <v>0</v>
      </c>
      <c r="H8" t="s">
        <v>47</v>
      </c>
      <c r="I8" s="5">
        <f t="shared" si="4"/>
        <v>0.23</v>
      </c>
      <c r="J8" s="10">
        <v>0</v>
      </c>
      <c r="K8" t="s">
        <v>46</v>
      </c>
      <c r="L8" s="10">
        <f t="shared" si="1"/>
        <v>1.96875</v>
      </c>
      <c r="M8" s="10">
        <f t="shared" si="2"/>
        <v>1.96875</v>
      </c>
      <c r="N8" s="10">
        <f t="shared" si="5"/>
        <v>0</v>
      </c>
      <c r="O8" s="10">
        <f t="shared" si="3"/>
        <v>0</v>
      </c>
      <c r="P8">
        <v>4.4999999999999998E-2</v>
      </c>
      <c r="Q8" s="2" t="s">
        <v>54</v>
      </c>
      <c r="R8">
        <v>3.5200000000000002E-2</v>
      </c>
    </row>
    <row r="9" spans="1:18" x14ac:dyDescent="0.25">
      <c r="A9" s="1">
        <v>7.2916666666666699E-2</v>
      </c>
      <c r="B9" s="2" t="s">
        <v>31</v>
      </c>
      <c r="C9">
        <v>7.3349999999999991</v>
      </c>
      <c r="D9" t="s">
        <v>8</v>
      </c>
      <c r="E9" s="11">
        <f t="shared" si="0"/>
        <v>7.3349999999999991</v>
      </c>
      <c r="F9" t="s">
        <v>3</v>
      </c>
      <c r="G9">
        <v>0</v>
      </c>
      <c r="H9" t="s">
        <v>47</v>
      </c>
      <c r="I9" s="5">
        <f t="shared" si="4"/>
        <v>0.23</v>
      </c>
      <c r="J9" s="10">
        <v>0</v>
      </c>
      <c r="K9" t="s">
        <v>46</v>
      </c>
      <c r="L9" s="10">
        <f t="shared" si="1"/>
        <v>1.8337499999999998</v>
      </c>
      <c r="M9" s="10">
        <f t="shared" si="2"/>
        <v>1.8337499999999998</v>
      </c>
      <c r="N9" s="10">
        <f t="shared" si="5"/>
        <v>0</v>
      </c>
      <c r="O9" s="10">
        <f t="shared" si="3"/>
        <v>0</v>
      </c>
      <c r="P9">
        <v>4.4999999999999998E-2</v>
      </c>
      <c r="Q9" s="2" t="s">
        <v>54</v>
      </c>
      <c r="R9">
        <v>3.44E-2</v>
      </c>
    </row>
    <row r="10" spans="1:18" x14ac:dyDescent="0.25">
      <c r="A10" s="1">
        <v>8.3333333333333301E-2</v>
      </c>
      <c r="B10" s="2" t="s">
        <v>31</v>
      </c>
      <c r="C10">
        <v>7.3949999999999996</v>
      </c>
      <c r="D10" t="s">
        <v>8</v>
      </c>
      <c r="E10" s="11">
        <f t="shared" si="0"/>
        <v>7.3949999999999996</v>
      </c>
      <c r="F10" t="s">
        <v>3</v>
      </c>
      <c r="G10">
        <v>0</v>
      </c>
      <c r="H10" t="s">
        <v>47</v>
      </c>
      <c r="I10" s="5">
        <f t="shared" si="4"/>
        <v>0.23</v>
      </c>
      <c r="J10" s="10">
        <v>0</v>
      </c>
      <c r="K10" t="s">
        <v>46</v>
      </c>
      <c r="L10" s="10">
        <f t="shared" si="1"/>
        <v>1.8487499999999999</v>
      </c>
      <c r="M10" s="10">
        <f t="shared" si="2"/>
        <v>1.8487499999999999</v>
      </c>
      <c r="N10" s="10">
        <f t="shared" si="5"/>
        <v>0</v>
      </c>
      <c r="O10" s="10">
        <f t="shared" si="3"/>
        <v>0</v>
      </c>
      <c r="P10">
        <v>4.3999999999999997E-2</v>
      </c>
      <c r="Q10" s="2" t="s">
        <v>54</v>
      </c>
      <c r="R10">
        <v>3.44E-2</v>
      </c>
    </row>
    <row r="11" spans="1:18" x14ac:dyDescent="0.25">
      <c r="A11" s="1">
        <v>9.375E-2</v>
      </c>
      <c r="B11" s="2" t="s">
        <v>31</v>
      </c>
      <c r="C11">
        <v>7.4399999999999995</v>
      </c>
      <c r="D11" t="s">
        <v>8</v>
      </c>
      <c r="E11" s="11">
        <f t="shared" si="0"/>
        <v>7.4399999999999995</v>
      </c>
      <c r="F11" t="s">
        <v>3</v>
      </c>
      <c r="G11">
        <v>0</v>
      </c>
      <c r="H11" t="s">
        <v>47</v>
      </c>
      <c r="I11" s="5">
        <f t="shared" si="4"/>
        <v>0.23</v>
      </c>
      <c r="J11" s="10">
        <v>0</v>
      </c>
      <c r="K11" t="s">
        <v>46</v>
      </c>
      <c r="L11" s="10">
        <f t="shared" si="1"/>
        <v>1.8599999999999999</v>
      </c>
      <c r="M11" s="10">
        <f t="shared" si="2"/>
        <v>1.8599999999999999</v>
      </c>
      <c r="N11" s="10">
        <f t="shared" si="5"/>
        <v>0</v>
      </c>
      <c r="O11" s="10">
        <f t="shared" si="3"/>
        <v>0</v>
      </c>
      <c r="P11">
        <v>4.3999999999999997E-2</v>
      </c>
      <c r="Q11" s="2" t="s">
        <v>54</v>
      </c>
      <c r="R11">
        <v>3.44E-2</v>
      </c>
    </row>
    <row r="12" spans="1:18" x14ac:dyDescent="0.25">
      <c r="A12" s="1">
        <v>0.104166666666667</v>
      </c>
      <c r="B12" s="2" t="s">
        <v>33</v>
      </c>
      <c r="C12">
        <v>7.89</v>
      </c>
      <c r="D12" t="s">
        <v>8</v>
      </c>
      <c r="E12" s="11">
        <f t="shared" si="0"/>
        <v>20.04</v>
      </c>
      <c r="F12" t="s">
        <v>3</v>
      </c>
      <c r="G12">
        <v>12.15</v>
      </c>
      <c r="H12" t="s">
        <v>4</v>
      </c>
      <c r="I12" s="5">
        <f t="shared" si="4"/>
        <v>0.29075000000000001</v>
      </c>
      <c r="J12" s="10">
        <v>0</v>
      </c>
      <c r="K12" t="s">
        <v>46</v>
      </c>
      <c r="L12" s="10">
        <f t="shared" si="1"/>
        <v>1.9724999999999999</v>
      </c>
      <c r="M12" s="10">
        <f t="shared" si="2"/>
        <v>5.01</v>
      </c>
      <c r="N12" s="10">
        <f t="shared" si="5"/>
        <v>0</v>
      </c>
      <c r="O12" s="10">
        <f t="shared" si="3"/>
        <v>0</v>
      </c>
      <c r="P12">
        <v>4.2999999999999997E-2</v>
      </c>
      <c r="Q12" s="2" t="s">
        <v>55</v>
      </c>
      <c r="R12">
        <v>3.44E-2</v>
      </c>
    </row>
    <row r="13" spans="1:18" x14ac:dyDescent="0.25">
      <c r="A13" s="1">
        <v>0.114583333333333</v>
      </c>
      <c r="B13" s="2" t="s">
        <v>33</v>
      </c>
      <c r="C13">
        <v>8.43</v>
      </c>
      <c r="D13" t="s">
        <v>8</v>
      </c>
      <c r="E13" s="11">
        <f t="shared" si="0"/>
        <v>26.93</v>
      </c>
      <c r="F13" t="s">
        <v>3</v>
      </c>
      <c r="G13">
        <v>18.5</v>
      </c>
      <c r="H13" t="s">
        <v>4</v>
      </c>
      <c r="I13" s="5">
        <f t="shared" si="4"/>
        <v>0.38324999999999998</v>
      </c>
      <c r="J13" s="10">
        <v>0</v>
      </c>
      <c r="K13" t="s">
        <v>46</v>
      </c>
      <c r="L13" s="10">
        <f t="shared" si="1"/>
        <v>2.1074999999999999</v>
      </c>
      <c r="M13" s="10">
        <f t="shared" si="2"/>
        <v>6.7324999999999999</v>
      </c>
      <c r="N13" s="10">
        <f t="shared" si="5"/>
        <v>0</v>
      </c>
      <c r="O13" s="10">
        <f t="shared" si="3"/>
        <v>0</v>
      </c>
      <c r="P13">
        <v>4.2999999999999997E-2</v>
      </c>
      <c r="Q13" s="2" t="s">
        <v>55</v>
      </c>
      <c r="R13">
        <v>3.3600000000000005E-2</v>
      </c>
    </row>
    <row r="14" spans="1:18" x14ac:dyDescent="0.25">
      <c r="A14" s="1">
        <v>0.125</v>
      </c>
      <c r="B14" s="2" t="s">
        <v>33</v>
      </c>
      <c r="C14">
        <v>7.74</v>
      </c>
      <c r="D14" t="s">
        <v>8</v>
      </c>
      <c r="E14" s="11">
        <f t="shared" si="0"/>
        <v>29.810000000000002</v>
      </c>
      <c r="F14" t="s">
        <v>3</v>
      </c>
      <c r="G14">
        <v>22.07</v>
      </c>
      <c r="H14" t="s">
        <v>4</v>
      </c>
      <c r="I14" s="5">
        <f t="shared" si="4"/>
        <v>0.49359999999999998</v>
      </c>
      <c r="J14" s="10">
        <v>0</v>
      </c>
      <c r="K14" t="s">
        <v>46</v>
      </c>
      <c r="L14" s="10">
        <f t="shared" si="1"/>
        <v>1.9350000000000001</v>
      </c>
      <c r="M14" s="10">
        <f t="shared" si="2"/>
        <v>7.4525000000000006</v>
      </c>
      <c r="N14" s="10">
        <f t="shared" si="5"/>
        <v>0</v>
      </c>
      <c r="O14" s="10">
        <f t="shared" si="3"/>
        <v>0</v>
      </c>
      <c r="P14">
        <v>4.2000000000000003E-2</v>
      </c>
      <c r="Q14" s="2" t="s">
        <v>55</v>
      </c>
      <c r="R14">
        <v>3.3600000000000005E-2</v>
      </c>
    </row>
    <row r="15" spans="1:18" x14ac:dyDescent="0.25">
      <c r="A15" s="1">
        <v>0.13541666666666699</v>
      </c>
      <c r="B15" s="2" t="s">
        <v>33</v>
      </c>
      <c r="C15">
        <v>7.38</v>
      </c>
      <c r="D15" t="s">
        <v>8</v>
      </c>
      <c r="E15" s="11">
        <f t="shared" si="0"/>
        <v>19.919999999999998</v>
      </c>
      <c r="F15" t="s">
        <v>3</v>
      </c>
      <c r="G15">
        <v>12.54</v>
      </c>
      <c r="H15" t="s">
        <v>4</v>
      </c>
      <c r="I15" s="5">
        <f t="shared" si="4"/>
        <v>0.55630000000000002</v>
      </c>
      <c r="J15" s="10">
        <v>0</v>
      </c>
      <c r="K15" t="s">
        <v>46</v>
      </c>
      <c r="L15" s="10">
        <f t="shared" si="1"/>
        <v>1.845</v>
      </c>
      <c r="M15" s="10">
        <f t="shared" si="2"/>
        <v>4.9799999999999995</v>
      </c>
      <c r="N15" s="10">
        <f t="shared" si="5"/>
        <v>0</v>
      </c>
      <c r="O15" s="10">
        <f t="shared" si="3"/>
        <v>0</v>
      </c>
      <c r="P15">
        <v>4.2000000000000003E-2</v>
      </c>
      <c r="Q15" s="2" t="s">
        <v>55</v>
      </c>
      <c r="R15">
        <v>3.3600000000000005E-2</v>
      </c>
    </row>
    <row r="16" spans="1:18" x14ac:dyDescent="0.25">
      <c r="A16" s="1">
        <v>0.14583333333333301</v>
      </c>
      <c r="B16" s="2" t="s">
        <v>33</v>
      </c>
      <c r="C16">
        <v>7.89</v>
      </c>
      <c r="D16" t="s">
        <v>8</v>
      </c>
      <c r="E16" s="11">
        <f t="shared" si="0"/>
        <v>21.13</v>
      </c>
      <c r="F16" t="s">
        <v>3</v>
      </c>
      <c r="G16">
        <v>13.24</v>
      </c>
      <c r="H16" t="s">
        <v>4</v>
      </c>
      <c r="I16" s="5">
        <f t="shared" si="4"/>
        <v>0.62250000000000005</v>
      </c>
      <c r="J16" s="10">
        <v>0</v>
      </c>
      <c r="K16" t="s">
        <v>46</v>
      </c>
      <c r="L16" s="10">
        <f t="shared" si="1"/>
        <v>1.9724999999999999</v>
      </c>
      <c r="M16" s="10">
        <f t="shared" si="2"/>
        <v>5.2824999999999998</v>
      </c>
      <c r="N16" s="10">
        <f t="shared" si="5"/>
        <v>0</v>
      </c>
      <c r="O16" s="10">
        <f t="shared" si="3"/>
        <v>0</v>
      </c>
      <c r="P16">
        <v>4.1000000000000002E-2</v>
      </c>
      <c r="Q16" s="2" t="s">
        <v>55</v>
      </c>
      <c r="R16">
        <v>3.3600000000000005E-2</v>
      </c>
    </row>
    <row r="17" spans="1:18" x14ac:dyDescent="0.25">
      <c r="A17" s="1">
        <v>0.15625</v>
      </c>
      <c r="B17" s="2" t="s">
        <v>33</v>
      </c>
      <c r="C17">
        <v>7.5449999999999999</v>
      </c>
      <c r="D17" t="s">
        <v>8</v>
      </c>
      <c r="E17" s="11">
        <f t="shared" si="0"/>
        <v>23.195</v>
      </c>
      <c r="F17" t="s">
        <v>3</v>
      </c>
      <c r="G17">
        <v>15.65</v>
      </c>
      <c r="H17" t="s">
        <v>4</v>
      </c>
      <c r="I17" s="5">
        <f t="shared" si="4"/>
        <v>0.7007500000000001</v>
      </c>
      <c r="J17" s="10">
        <v>0</v>
      </c>
      <c r="K17" t="s">
        <v>46</v>
      </c>
      <c r="L17" s="10">
        <f t="shared" si="1"/>
        <v>1.88625</v>
      </c>
      <c r="M17" s="10">
        <f t="shared" si="2"/>
        <v>5.7987500000000001</v>
      </c>
      <c r="N17" s="10">
        <f t="shared" si="5"/>
        <v>0</v>
      </c>
      <c r="O17" s="10">
        <f t="shared" si="3"/>
        <v>0</v>
      </c>
      <c r="P17">
        <v>4.1000000000000002E-2</v>
      </c>
      <c r="Q17" s="2" t="s">
        <v>55</v>
      </c>
      <c r="R17">
        <v>3.2800000000000003E-2</v>
      </c>
    </row>
    <row r="18" spans="1:18" x14ac:dyDescent="0.25">
      <c r="A18" s="1">
        <v>0.16666666666666699</v>
      </c>
      <c r="B18" s="2" t="s">
        <v>33</v>
      </c>
      <c r="C18">
        <v>7.7250000000000005</v>
      </c>
      <c r="D18" t="s">
        <v>8</v>
      </c>
      <c r="E18" s="11">
        <f t="shared" si="0"/>
        <v>29.435000000000002</v>
      </c>
      <c r="F18" t="s">
        <v>3</v>
      </c>
      <c r="G18">
        <v>21.71</v>
      </c>
      <c r="H18" t="s">
        <v>4</v>
      </c>
      <c r="I18" s="5">
        <f t="shared" si="4"/>
        <v>0.80930000000000013</v>
      </c>
      <c r="J18" s="10">
        <v>0</v>
      </c>
      <c r="K18" t="s">
        <v>46</v>
      </c>
      <c r="L18" s="10">
        <f t="shared" si="1"/>
        <v>1.9312500000000001</v>
      </c>
      <c r="M18" s="10">
        <f t="shared" si="2"/>
        <v>7.3587500000000006</v>
      </c>
      <c r="N18" s="10">
        <f t="shared" si="5"/>
        <v>0</v>
      </c>
      <c r="O18" s="10">
        <f t="shared" si="3"/>
        <v>0</v>
      </c>
      <c r="P18">
        <v>0.04</v>
      </c>
      <c r="Q18" s="2" t="s">
        <v>55</v>
      </c>
      <c r="R18">
        <v>3.2800000000000003E-2</v>
      </c>
    </row>
    <row r="19" spans="1:18" x14ac:dyDescent="0.25">
      <c r="A19" s="1">
        <v>0.17708333333333301</v>
      </c>
      <c r="B19" s="2" t="s">
        <v>33</v>
      </c>
      <c r="C19">
        <v>8.5950000000000006</v>
      </c>
      <c r="D19" t="s">
        <v>8</v>
      </c>
      <c r="E19" s="11">
        <f t="shared" si="0"/>
        <v>24.965000000000003</v>
      </c>
      <c r="F19" t="s">
        <v>3</v>
      </c>
      <c r="G19">
        <v>16.37</v>
      </c>
      <c r="H19" t="s">
        <v>4</v>
      </c>
      <c r="I19" s="5">
        <f t="shared" si="4"/>
        <v>0.89115000000000011</v>
      </c>
      <c r="J19" s="10">
        <v>0</v>
      </c>
      <c r="K19" t="s">
        <v>46</v>
      </c>
      <c r="L19" s="10">
        <f t="shared" si="1"/>
        <v>2.1487500000000002</v>
      </c>
      <c r="M19" s="10">
        <f t="shared" si="2"/>
        <v>6.2412500000000009</v>
      </c>
      <c r="N19" s="10">
        <f t="shared" si="5"/>
        <v>0</v>
      </c>
      <c r="O19" s="10">
        <f t="shared" si="3"/>
        <v>0</v>
      </c>
      <c r="P19">
        <v>0.04</v>
      </c>
      <c r="Q19" s="2" t="s">
        <v>55</v>
      </c>
      <c r="R19">
        <v>3.2800000000000003E-2</v>
      </c>
    </row>
    <row r="20" spans="1:18" x14ac:dyDescent="0.25">
      <c r="A20" s="1">
        <v>0.1875</v>
      </c>
      <c r="B20" s="2" t="s">
        <v>33</v>
      </c>
      <c r="C20">
        <v>8.43</v>
      </c>
      <c r="D20" t="s">
        <v>8</v>
      </c>
      <c r="E20" s="11">
        <f t="shared" si="0"/>
        <v>20.57</v>
      </c>
      <c r="F20" t="s">
        <v>3</v>
      </c>
      <c r="G20">
        <v>12.14</v>
      </c>
      <c r="H20" t="s">
        <v>4</v>
      </c>
      <c r="I20" s="5">
        <f t="shared" si="4"/>
        <v>0.95185000000000008</v>
      </c>
      <c r="J20" s="10">
        <v>0</v>
      </c>
      <c r="K20" t="s">
        <v>46</v>
      </c>
      <c r="L20" s="10">
        <f t="shared" si="1"/>
        <v>2.1074999999999999</v>
      </c>
      <c r="M20" s="10">
        <f t="shared" si="2"/>
        <v>5.1425000000000001</v>
      </c>
      <c r="N20" s="10">
        <f t="shared" si="5"/>
        <v>0</v>
      </c>
      <c r="O20" s="10">
        <f t="shared" si="3"/>
        <v>0</v>
      </c>
      <c r="P20">
        <v>3.9E-2</v>
      </c>
      <c r="Q20" s="2" t="s">
        <v>55</v>
      </c>
      <c r="R20">
        <v>3.2800000000000003E-2</v>
      </c>
    </row>
    <row r="21" spans="1:18" x14ac:dyDescent="0.25">
      <c r="A21" s="1">
        <v>0.19791666666666699</v>
      </c>
      <c r="B21" s="2" t="s">
        <v>31</v>
      </c>
      <c r="C21">
        <v>9.18</v>
      </c>
      <c r="D21" t="s">
        <v>8</v>
      </c>
      <c r="E21" s="11">
        <f t="shared" si="0"/>
        <v>9.18</v>
      </c>
      <c r="F21" t="s">
        <v>3</v>
      </c>
      <c r="G21">
        <v>0</v>
      </c>
      <c r="H21" t="s">
        <v>47</v>
      </c>
      <c r="I21" s="5">
        <f t="shared" si="4"/>
        <v>0.95185000000000008</v>
      </c>
      <c r="J21" s="10">
        <v>0</v>
      </c>
      <c r="K21" t="s">
        <v>46</v>
      </c>
      <c r="L21" s="10">
        <f t="shared" si="1"/>
        <v>2.2949999999999999</v>
      </c>
      <c r="M21" s="10">
        <f t="shared" si="2"/>
        <v>2.2949999999999999</v>
      </c>
      <c r="N21" s="10">
        <f t="shared" si="5"/>
        <v>0</v>
      </c>
      <c r="O21" s="10">
        <f t="shared" si="3"/>
        <v>0</v>
      </c>
      <c r="P21">
        <v>3.9E-2</v>
      </c>
      <c r="Q21" s="2" t="s">
        <v>55</v>
      </c>
      <c r="R21">
        <v>3.2000000000000001E-2</v>
      </c>
    </row>
    <row r="22" spans="1:18" x14ac:dyDescent="0.25">
      <c r="A22" s="1">
        <v>0.20833333333333301</v>
      </c>
      <c r="B22" s="2" t="s">
        <v>31</v>
      </c>
      <c r="C22">
        <v>9.3149999999999995</v>
      </c>
      <c r="D22" t="s">
        <v>8</v>
      </c>
      <c r="E22" s="11">
        <f t="shared" si="0"/>
        <v>9.3149999999999995</v>
      </c>
      <c r="F22" t="s">
        <v>3</v>
      </c>
      <c r="G22">
        <v>0</v>
      </c>
      <c r="H22" t="s">
        <v>47</v>
      </c>
      <c r="I22" s="5">
        <f t="shared" si="4"/>
        <v>0.95185000000000008</v>
      </c>
      <c r="J22" s="10">
        <v>0</v>
      </c>
      <c r="K22" t="s">
        <v>46</v>
      </c>
      <c r="L22" s="10">
        <f t="shared" si="1"/>
        <v>2.3287499999999999</v>
      </c>
      <c r="M22" s="10">
        <f t="shared" si="2"/>
        <v>2.3287499999999999</v>
      </c>
      <c r="N22" s="10">
        <f t="shared" si="5"/>
        <v>0</v>
      </c>
      <c r="O22" s="10">
        <f t="shared" si="3"/>
        <v>0</v>
      </c>
      <c r="P22">
        <v>0.04</v>
      </c>
      <c r="Q22" s="2" t="s">
        <v>54</v>
      </c>
      <c r="R22">
        <v>3.2000000000000001E-2</v>
      </c>
    </row>
    <row r="23" spans="1:18" x14ac:dyDescent="0.25">
      <c r="A23" s="1">
        <v>0.21875</v>
      </c>
      <c r="B23" s="2" t="s">
        <v>34</v>
      </c>
      <c r="C23">
        <v>12</v>
      </c>
      <c r="D23" t="s">
        <v>9</v>
      </c>
      <c r="E23" s="11">
        <f t="shared" si="0"/>
        <v>11.785714285714286</v>
      </c>
      <c r="F23" t="s">
        <v>3</v>
      </c>
      <c r="G23">
        <v>0</v>
      </c>
      <c r="H23" t="s">
        <v>47</v>
      </c>
      <c r="I23" s="5">
        <f t="shared" si="4"/>
        <v>0.95185000000000008</v>
      </c>
      <c r="J23" s="10">
        <v>0.2142857142857143</v>
      </c>
      <c r="K23" t="s">
        <v>17</v>
      </c>
      <c r="L23" s="10">
        <f t="shared" si="1"/>
        <v>3</v>
      </c>
      <c r="M23" s="10">
        <f t="shared" si="2"/>
        <v>2.9464285714285716</v>
      </c>
      <c r="N23" s="10">
        <f t="shared" si="5"/>
        <v>5.3571428571428575E-2</v>
      </c>
      <c r="O23" s="10">
        <f t="shared" si="3"/>
        <v>0</v>
      </c>
      <c r="P23">
        <v>4.1000000000000002E-2</v>
      </c>
      <c r="Q23" s="2" t="s">
        <v>54</v>
      </c>
      <c r="R23">
        <v>3.2000000000000001E-2</v>
      </c>
    </row>
    <row r="24" spans="1:18" x14ac:dyDescent="0.25">
      <c r="A24" s="1">
        <v>0.22916666666666699</v>
      </c>
      <c r="B24" s="2" t="s">
        <v>34</v>
      </c>
      <c r="C24">
        <v>14.64</v>
      </c>
      <c r="D24" t="s">
        <v>9</v>
      </c>
      <c r="E24" s="11">
        <f t="shared" si="0"/>
        <v>14.318571428571429</v>
      </c>
      <c r="F24" t="s">
        <v>3</v>
      </c>
      <c r="G24">
        <v>0</v>
      </c>
      <c r="H24" t="s">
        <v>47</v>
      </c>
      <c r="I24" s="5">
        <f t="shared" si="4"/>
        <v>0.95185000000000008</v>
      </c>
      <c r="J24" s="10">
        <v>0.32142857142857145</v>
      </c>
      <c r="K24" t="s">
        <v>17</v>
      </c>
      <c r="L24" s="10">
        <f t="shared" si="1"/>
        <v>3.66</v>
      </c>
      <c r="M24" s="10">
        <f t="shared" si="2"/>
        <v>3.5796428571428573</v>
      </c>
      <c r="N24" s="10">
        <f t="shared" si="5"/>
        <v>8.0357142857142863E-2</v>
      </c>
      <c r="O24" s="10">
        <f t="shared" si="3"/>
        <v>0</v>
      </c>
      <c r="P24">
        <v>4.2000000000000003E-2</v>
      </c>
      <c r="Q24" s="2" t="s">
        <v>54</v>
      </c>
      <c r="R24">
        <v>3.2000000000000001E-2</v>
      </c>
    </row>
    <row r="25" spans="1:18" x14ac:dyDescent="0.25">
      <c r="A25" s="1">
        <v>0.23958333333333301</v>
      </c>
      <c r="B25" s="2" t="s">
        <v>34</v>
      </c>
      <c r="C25">
        <v>16.23</v>
      </c>
      <c r="D25" t="s">
        <v>9</v>
      </c>
      <c r="E25" s="11">
        <f t="shared" si="0"/>
        <v>15.694285714285714</v>
      </c>
      <c r="F25" t="s">
        <v>3</v>
      </c>
      <c r="G25">
        <v>0</v>
      </c>
      <c r="H25" t="s">
        <v>47</v>
      </c>
      <c r="I25" s="5">
        <f t="shared" si="4"/>
        <v>0.95185000000000008</v>
      </c>
      <c r="J25" s="10">
        <v>0.5357142857142857</v>
      </c>
      <c r="K25" t="s">
        <v>17</v>
      </c>
      <c r="L25" s="10">
        <f t="shared" si="1"/>
        <v>4.0575000000000001</v>
      </c>
      <c r="M25" s="10">
        <f t="shared" si="2"/>
        <v>3.9235714285714285</v>
      </c>
      <c r="N25" s="10">
        <f t="shared" si="5"/>
        <v>0.13392857142857142</v>
      </c>
      <c r="O25" s="10">
        <f t="shared" si="3"/>
        <v>0</v>
      </c>
      <c r="P25">
        <v>4.2999999999999997E-2</v>
      </c>
      <c r="Q25" s="2" t="s">
        <v>54</v>
      </c>
      <c r="R25">
        <v>3.3600000000000005E-2</v>
      </c>
    </row>
    <row r="26" spans="1:18" x14ac:dyDescent="0.25">
      <c r="A26" s="1">
        <v>0.25</v>
      </c>
      <c r="B26" s="2" t="s">
        <v>34</v>
      </c>
      <c r="C26">
        <v>19.049999999999997</v>
      </c>
      <c r="D26" t="s">
        <v>9</v>
      </c>
      <c r="E26" s="11">
        <f t="shared" si="0"/>
        <v>18.19285714285714</v>
      </c>
      <c r="F26" t="s">
        <v>3</v>
      </c>
      <c r="G26">
        <v>0</v>
      </c>
      <c r="H26" t="s">
        <v>47</v>
      </c>
      <c r="I26" s="5">
        <f t="shared" si="4"/>
        <v>0.95185000000000008</v>
      </c>
      <c r="J26" s="10">
        <v>0.85714285714285721</v>
      </c>
      <c r="K26" t="s">
        <v>17</v>
      </c>
      <c r="L26" s="10">
        <f t="shared" si="1"/>
        <v>4.7624999999999993</v>
      </c>
      <c r="M26" s="10">
        <f t="shared" si="2"/>
        <v>4.5482142857142849</v>
      </c>
      <c r="N26" s="10">
        <f t="shared" si="5"/>
        <v>0.2142857142857143</v>
      </c>
      <c r="O26" s="10">
        <f t="shared" si="3"/>
        <v>0</v>
      </c>
      <c r="P26">
        <v>4.4999999999999998E-2</v>
      </c>
      <c r="Q26" s="2" t="s">
        <v>54</v>
      </c>
      <c r="R26">
        <v>3.5200000000000002E-2</v>
      </c>
    </row>
    <row r="27" spans="1:18" x14ac:dyDescent="0.25">
      <c r="A27" s="1">
        <v>0.26041666666666702</v>
      </c>
      <c r="B27" s="2" t="s">
        <v>34</v>
      </c>
      <c r="C27">
        <v>23.234999999999999</v>
      </c>
      <c r="D27" t="s">
        <v>9</v>
      </c>
      <c r="E27" s="11">
        <f t="shared" si="0"/>
        <v>20.984999999999999</v>
      </c>
      <c r="F27" t="s">
        <v>3</v>
      </c>
      <c r="G27">
        <v>0</v>
      </c>
      <c r="H27" t="s">
        <v>47</v>
      </c>
      <c r="I27" s="5">
        <f t="shared" si="4"/>
        <v>0.95185000000000008</v>
      </c>
      <c r="J27" s="10">
        <v>2.25</v>
      </c>
      <c r="K27" t="s">
        <v>17</v>
      </c>
      <c r="L27" s="10">
        <f t="shared" si="1"/>
        <v>5.8087499999999999</v>
      </c>
      <c r="M27" s="10">
        <f t="shared" si="2"/>
        <v>5.2462499999999999</v>
      </c>
      <c r="N27" s="10">
        <f t="shared" si="5"/>
        <v>0.5625</v>
      </c>
      <c r="O27" s="10">
        <f t="shared" si="3"/>
        <v>0</v>
      </c>
      <c r="P27">
        <v>4.7E-2</v>
      </c>
      <c r="Q27" s="2" t="s">
        <v>54</v>
      </c>
      <c r="R27">
        <v>3.6799999999999999E-2</v>
      </c>
    </row>
    <row r="28" spans="1:18" x14ac:dyDescent="0.25">
      <c r="A28" s="1">
        <v>0.27083333333333298</v>
      </c>
      <c r="B28" s="2" t="s">
        <v>34</v>
      </c>
      <c r="C28">
        <v>26.895</v>
      </c>
      <c r="D28" t="s">
        <v>9</v>
      </c>
      <c r="E28" s="11">
        <f t="shared" si="0"/>
        <v>23.145</v>
      </c>
      <c r="F28" t="s">
        <v>3</v>
      </c>
      <c r="G28">
        <v>0</v>
      </c>
      <c r="H28" t="s">
        <v>47</v>
      </c>
      <c r="I28" s="5">
        <f t="shared" si="4"/>
        <v>0.95185000000000008</v>
      </c>
      <c r="J28" s="10">
        <v>3.7500000000000004</v>
      </c>
      <c r="K28" t="s">
        <v>17</v>
      </c>
      <c r="L28" s="10">
        <f t="shared" si="1"/>
        <v>6.7237499999999999</v>
      </c>
      <c r="M28" s="10">
        <f t="shared" si="2"/>
        <v>5.7862499999999999</v>
      </c>
      <c r="N28" s="10">
        <f t="shared" si="5"/>
        <v>0.93750000000000011</v>
      </c>
      <c r="O28" s="10">
        <f t="shared" si="3"/>
        <v>0</v>
      </c>
      <c r="P28">
        <v>4.9000000000000002E-2</v>
      </c>
      <c r="Q28" s="2" t="s">
        <v>54</v>
      </c>
      <c r="R28">
        <v>3.8400000000000004E-2</v>
      </c>
    </row>
    <row r="29" spans="1:18" x14ac:dyDescent="0.25">
      <c r="A29" s="1">
        <v>0.28125</v>
      </c>
      <c r="B29" s="2" t="s">
        <v>34</v>
      </c>
      <c r="C29">
        <v>30.224999999999998</v>
      </c>
      <c r="D29" t="s">
        <v>9</v>
      </c>
      <c r="E29" s="11">
        <f t="shared" si="0"/>
        <v>24.974999999999998</v>
      </c>
      <c r="F29" t="s">
        <v>3</v>
      </c>
      <c r="G29">
        <v>0</v>
      </c>
      <c r="H29" t="s">
        <v>47</v>
      </c>
      <c r="I29" s="5">
        <f t="shared" si="4"/>
        <v>0.95185000000000008</v>
      </c>
      <c r="J29" s="10">
        <v>5.25</v>
      </c>
      <c r="K29" t="s">
        <v>17</v>
      </c>
      <c r="L29" s="10">
        <f t="shared" si="1"/>
        <v>7.5562499999999995</v>
      </c>
      <c r="M29" s="10">
        <f t="shared" si="2"/>
        <v>6.2437499999999995</v>
      </c>
      <c r="N29" s="10">
        <f t="shared" si="5"/>
        <v>1.3125</v>
      </c>
      <c r="O29" s="10">
        <f t="shared" si="3"/>
        <v>0</v>
      </c>
      <c r="P29">
        <v>5.0999999999999997E-2</v>
      </c>
      <c r="Q29" s="2" t="s">
        <v>56</v>
      </c>
      <c r="R29">
        <v>4.0000000000000008E-2</v>
      </c>
    </row>
    <row r="30" spans="1:18" x14ac:dyDescent="0.25">
      <c r="A30" s="1">
        <v>0.29166666666666702</v>
      </c>
      <c r="B30" s="2" t="s">
        <v>34</v>
      </c>
      <c r="C30">
        <v>33.839999999999996</v>
      </c>
      <c r="D30" t="s">
        <v>9</v>
      </c>
      <c r="E30" s="11">
        <f t="shared" si="0"/>
        <v>26.447142857142854</v>
      </c>
      <c r="F30" t="s">
        <v>3</v>
      </c>
      <c r="G30">
        <v>0</v>
      </c>
      <c r="H30" t="s">
        <v>47</v>
      </c>
      <c r="I30" s="5">
        <f t="shared" si="4"/>
        <v>0.95185000000000008</v>
      </c>
      <c r="J30" s="10">
        <v>7.3928571428571432</v>
      </c>
      <c r="K30" t="s">
        <v>17</v>
      </c>
      <c r="L30" s="10">
        <f t="shared" si="1"/>
        <v>8.4599999999999991</v>
      </c>
      <c r="M30" s="10">
        <f t="shared" si="2"/>
        <v>6.6117857142857135</v>
      </c>
      <c r="N30" s="10">
        <f t="shared" si="5"/>
        <v>1.8482142857142858</v>
      </c>
      <c r="O30" s="10">
        <f t="shared" si="3"/>
        <v>0</v>
      </c>
      <c r="P30">
        <v>5.3999999999999999E-2</v>
      </c>
      <c r="Q30" s="2" t="s">
        <v>56</v>
      </c>
      <c r="R30">
        <v>4.1599999999999998E-2</v>
      </c>
    </row>
    <row r="31" spans="1:18" x14ac:dyDescent="0.25">
      <c r="A31" s="1">
        <v>0.30208333333333298</v>
      </c>
      <c r="B31" s="2" t="s">
        <v>34</v>
      </c>
      <c r="C31">
        <v>39.765000000000001</v>
      </c>
      <c r="D31" t="s">
        <v>9</v>
      </c>
      <c r="E31" s="11">
        <f t="shared" si="0"/>
        <v>30.443571428571428</v>
      </c>
      <c r="F31" t="s">
        <v>3</v>
      </c>
      <c r="G31">
        <v>0</v>
      </c>
      <c r="H31" t="s">
        <v>47</v>
      </c>
      <c r="I31" s="5">
        <f t="shared" si="4"/>
        <v>0.95185000000000008</v>
      </c>
      <c r="J31" s="10">
        <v>9.321428571428573</v>
      </c>
      <c r="K31" t="s">
        <v>17</v>
      </c>
      <c r="L31" s="10">
        <f t="shared" si="1"/>
        <v>9.9412500000000001</v>
      </c>
      <c r="M31" s="10">
        <f t="shared" si="2"/>
        <v>7.6108928571428569</v>
      </c>
      <c r="N31" s="10">
        <f t="shared" si="5"/>
        <v>2.3303571428571432</v>
      </c>
      <c r="O31" s="10">
        <f t="shared" si="3"/>
        <v>0</v>
      </c>
      <c r="P31">
        <v>5.6000000000000001E-2</v>
      </c>
      <c r="Q31" s="2" t="s">
        <v>56</v>
      </c>
      <c r="R31">
        <v>4.3200000000000002E-2</v>
      </c>
    </row>
    <row r="32" spans="1:18" x14ac:dyDescent="0.25">
      <c r="A32" s="1">
        <v>0.3125</v>
      </c>
      <c r="B32" s="2" t="s">
        <v>34</v>
      </c>
      <c r="C32">
        <v>43.68</v>
      </c>
      <c r="D32" t="s">
        <v>9</v>
      </c>
      <c r="E32" s="11">
        <f t="shared" si="0"/>
        <v>31.68</v>
      </c>
      <c r="F32" t="s">
        <v>3</v>
      </c>
      <c r="G32">
        <v>0</v>
      </c>
      <c r="H32" t="s">
        <v>47</v>
      </c>
      <c r="I32" s="5">
        <f t="shared" si="4"/>
        <v>0.95185000000000008</v>
      </c>
      <c r="J32" s="10">
        <v>12.000000000000002</v>
      </c>
      <c r="K32" t="s">
        <v>17</v>
      </c>
      <c r="L32" s="10">
        <f t="shared" si="1"/>
        <v>10.92</v>
      </c>
      <c r="M32" s="10">
        <f t="shared" si="2"/>
        <v>7.92</v>
      </c>
      <c r="N32" s="10">
        <f t="shared" si="5"/>
        <v>3.0000000000000004</v>
      </c>
      <c r="O32" s="10">
        <f t="shared" si="3"/>
        <v>0</v>
      </c>
      <c r="P32">
        <v>5.8000000000000003E-2</v>
      </c>
      <c r="Q32" s="2" t="s">
        <v>56</v>
      </c>
      <c r="R32">
        <v>4.4800000000000006E-2</v>
      </c>
    </row>
    <row r="33" spans="1:18" x14ac:dyDescent="0.25">
      <c r="A33" s="1">
        <v>0.32291666666666702</v>
      </c>
      <c r="B33" s="2" t="s">
        <v>34</v>
      </c>
      <c r="C33">
        <v>52.605000000000004</v>
      </c>
      <c r="D33" t="s">
        <v>9</v>
      </c>
      <c r="E33" s="11">
        <f t="shared" si="0"/>
        <v>35.997857142857143</v>
      </c>
      <c r="F33" t="s">
        <v>3</v>
      </c>
      <c r="G33">
        <v>0</v>
      </c>
      <c r="H33" t="s">
        <v>47</v>
      </c>
      <c r="I33" s="5">
        <f t="shared" si="4"/>
        <v>0.95185000000000008</v>
      </c>
      <c r="J33" s="10">
        <v>16.607142857142858</v>
      </c>
      <c r="K33" t="s">
        <v>17</v>
      </c>
      <c r="L33" s="10">
        <f t="shared" si="1"/>
        <v>13.151250000000001</v>
      </c>
      <c r="M33" s="10">
        <f t="shared" si="2"/>
        <v>8.9994642857142857</v>
      </c>
      <c r="N33" s="10">
        <f t="shared" si="5"/>
        <v>4.1517857142857144</v>
      </c>
      <c r="O33" s="10">
        <f t="shared" si="3"/>
        <v>0</v>
      </c>
      <c r="P33">
        <v>0.06</v>
      </c>
      <c r="Q33" s="2" t="s">
        <v>56</v>
      </c>
      <c r="R33">
        <v>4.6400000000000004E-2</v>
      </c>
    </row>
    <row r="34" spans="1:18" x14ac:dyDescent="0.25">
      <c r="A34" s="1">
        <v>0.33333333333333298</v>
      </c>
      <c r="B34" s="2" t="s">
        <v>34</v>
      </c>
      <c r="C34">
        <v>47.325000000000003</v>
      </c>
      <c r="D34" t="s">
        <v>9</v>
      </c>
      <c r="E34" s="11">
        <f t="shared" si="0"/>
        <v>29.217857142857145</v>
      </c>
      <c r="F34" t="s">
        <v>3</v>
      </c>
      <c r="G34">
        <v>0</v>
      </c>
      <c r="H34" t="s">
        <v>47</v>
      </c>
      <c r="I34" s="5">
        <f t="shared" si="4"/>
        <v>0.95185000000000008</v>
      </c>
      <c r="J34" s="10">
        <v>18.107142857142858</v>
      </c>
      <c r="K34" t="s">
        <v>17</v>
      </c>
      <c r="L34" s="10">
        <f t="shared" si="1"/>
        <v>11.831250000000001</v>
      </c>
      <c r="M34" s="10">
        <f t="shared" si="2"/>
        <v>7.3044642857142863</v>
      </c>
      <c r="N34" s="10">
        <f t="shared" si="5"/>
        <v>4.5267857142857144</v>
      </c>
      <c r="O34" s="10">
        <f t="shared" si="3"/>
        <v>0</v>
      </c>
      <c r="P34">
        <v>6.2E-2</v>
      </c>
      <c r="Q34" s="2" t="s">
        <v>56</v>
      </c>
      <c r="R34">
        <v>4.8000000000000001E-2</v>
      </c>
    </row>
    <row r="35" spans="1:18" x14ac:dyDescent="0.25">
      <c r="A35" s="1">
        <v>0.34375</v>
      </c>
      <c r="B35" s="2" t="s">
        <v>34</v>
      </c>
      <c r="C35">
        <v>55.44</v>
      </c>
      <c r="D35" t="s">
        <v>9</v>
      </c>
      <c r="E35" s="11">
        <f t="shared" si="0"/>
        <v>33.261428571428567</v>
      </c>
      <c r="F35" t="s">
        <v>3</v>
      </c>
      <c r="G35">
        <v>0</v>
      </c>
      <c r="H35" t="s">
        <v>47</v>
      </c>
      <c r="I35" s="5">
        <f t="shared" si="4"/>
        <v>0.95185000000000008</v>
      </c>
      <c r="J35" s="10">
        <v>22.178571428571431</v>
      </c>
      <c r="K35" t="s">
        <v>17</v>
      </c>
      <c r="L35" s="10">
        <f t="shared" si="1"/>
        <v>13.86</v>
      </c>
      <c r="M35" s="10">
        <f t="shared" si="2"/>
        <v>8.3153571428571418</v>
      </c>
      <c r="N35" s="10">
        <f t="shared" si="5"/>
        <v>5.5446428571428577</v>
      </c>
      <c r="O35" s="10">
        <f t="shared" si="3"/>
        <v>0</v>
      </c>
      <c r="P35">
        <v>6.4000000000000001E-2</v>
      </c>
      <c r="Q35" s="2" t="s">
        <v>56</v>
      </c>
      <c r="R35">
        <v>4.9600000000000005E-2</v>
      </c>
    </row>
    <row r="36" spans="1:18" x14ac:dyDescent="0.25">
      <c r="A36" s="1">
        <v>0.35416666666666702</v>
      </c>
      <c r="B36" s="2" t="s">
        <v>37</v>
      </c>
      <c r="C36">
        <v>58.800000000000004</v>
      </c>
      <c r="D36" t="s">
        <v>19</v>
      </c>
      <c r="E36" s="11">
        <f t="shared" si="0"/>
        <v>0</v>
      </c>
      <c r="F36" t="s">
        <v>3</v>
      </c>
      <c r="G36">
        <f t="shared" ref="G36:G40" si="6">J36-C36</f>
        <v>-33.835714285714289</v>
      </c>
      <c r="H36" t="s">
        <v>5</v>
      </c>
      <c r="I36" s="5">
        <f t="shared" si="4"/>
        <v>0.78267142857142868</v>
      </c>
      <c r="J36" s="10">
        <v>24.964285714285719</v>
      </c>
      <c r="K36" t="s">
        <v>17</v>
      </c>
      <c r="L36" s="10">
        <f t="shared" si="1"/>
        <v>14.700000000000001</v>
      </c>
      <c r="M36" s="10">
        <f t="shared" si="2"/>
        <v>0</v>
      </c>
      <c r="N36" s="10">
        <f t="shared" si="5"/>
        <v>6.2410714285714297</v>
      </c>
      <c r="O36" s="10">
        <f t="shared" si="3"/>
        <v>8.4589285714285722</v>
      </c>
      <c r="P36">
        <v>6.6000000000000003E-2</v>
      </c>
      <c r="Q36" s="2" t="s">
        <v>57</v>
      </c>
      <c r="R36">
        <v>5.1200000000000002E-2</v>
      </c>
    </row>
    <row r="37" spans="1:18" x14ac:dyDescent="0.25">
      <c r="A37" s="1">
        <v>0.36458333333333298</v>
      </c>
      <c r="B37" s="2" t="s">
        <v>37</v>
      </c>
      <c r="C37">
        <v>64.004999999999995</v>
      </c>
      <c r="D37" t="s">
        <v>19</v>
      </c>
      <c r="E37" s="11">
        <f t="shared" si="0"/>
        <v>0</v>
      </c>
      <c r="F37" t="s">
        <v>3</v>
      </c>
      <c r="G37">
        <f t="shared" si="6"/>
        <v>-32.397857142857134</v>
      </c>
      <c r="H37" t="s">
        <v>5</v>
      </c>
      <c r="I37" s="5">
        <f t="shared" si="4"/>
        <v>0.62068214285714296</v>
      </c>
      <c r="J37" s="10">
        <v>31.607142857142858</v>
      </c>
      <c r="K37" t="s">
        <v>17</v>
      </c>
      <c r="L37" s="10">
        <f t="shared" si="1"/>
        <v>16.001249999999999</v>
      </c>
      <c r="M37" s="10">
        <f t="shared" si="2"/>
        <v>0</v>
      </c>
      <c r="N37" s="10">
        <f t="shared" si="5"/>
        <v>7.9017857142857144</v>
      </c>
      <c r="O37" s="10">
        <f t="shared" si="3"/>
        <v>8.0994642857142836</v>
      </c>
      <c r="P37">
        <v>6.8000000000000005E-2</v>
      </c>
      <c r="Q37" s="2" t="s">
        <v>57</v>
      </c>
      <c r="R37">
        <v>4.8000000000000001E-2</v>
      </c>
    </row>
    <row r="38" spans="1:18" x14ac:dyDescent="0.25">
      <c r="A38" s="1">
        <v>0.375</v>
      </c>
      <c r="B38" s="2" t="s">
        <v>37</v>
      </c>
      <c r="C38">
        <v>64.739999999999995</v>
      </c>
      <c r="D38" t="s">
        <v>19</v>
      </c>
      <c r="E38" s="11">
        <f t="shared" si="0"/>
        <v>0</v>
      </c>
      <c r="F38" t="s">
        <v>3</v>
      </c>
      <c r="G38">
        <f t="shared" si="6"/>
        <v>-30.02571428571428</v>
      </c>
      <c r="H38" t="s">
        <v>5</v>
      </c>
      <c r="I38" s="5">
        <f t="shared" si="4"/>
        <v>0.47055357142857157</v>
      </c>
      <c r="J38" s="10">
        <v>34.714285714285715</v>
      </c>
      <c r="K38" t="s">
        <v>17</v>
      </c>
      <c r="L38" s="10">
        <f t="shared" si="1"/>
        <v>16.184999999999999</v>
      </c>
      <c r="M38" s="10">
        <f t="shared" si="2"/>
        <v>0</v>
      </c>
      <c r="N38" s="10">
        <f t="shared" si="5"/>
        <v>8.6785714285714288</v>
      </c>
      <c r="O38" s="10">
        <f t="shared" si="3"/>
        <v>7.5064285714285699</v>
      </c>
      <c r="P38">
        <v>7.0000000000000007E-2</v>
      </c>
      <c r="Q38" s="2" t="s">
        <v>57</v>
      </c>
      <c r="R38">
        <v>4.4800000000000006E-2</v>
      </c>
    </row>
    <row r="39" spans="1:18" x14ac:dyDescent="0.25">
      <c r="A39" s="1">
        <v>0.38541666666666702</v>
      </c>
      <c r="B39" s="2" t="s">
        <v>37</v>
      </c>
      <c r="C39">
        <v>62.655000000000001</v>
      </c>
      <c r="D39" t="s">
        <v>19</v>
      </c>
      <c r="E39" s="11">
        <f t="shared" si="0"/>
        <v>0</v>
      </c>
      <c r="F39" t="s">
        <v>3</v>
      </c>
      <c r="G39">
        <f t="shared" si="6"/>
        <v>-24.405000000000001</v>
      </c>
      <c r="H39" t="s">
        <v>5</v>
      </c>
      <c r="I39" s="5">
        <f t="shared" si="4"/>
        <v>0.34852857142857158</v>
      </c>
      <c r="J39" s="10">
        <v>38.25</v>
      </c>
      <c r="K39" t="s">
        <v>17</v>
      </c>
      <c r="L39" s="10">
        <f t="shared" si="1"/>
        <v>15.66375</v>
      </c>
      <c r="M39" s="10">
        <f t="shared" si="2"/>
        <v>0</v>
      </c>
      <c r="N39" s="10">
        <f t="shared" si="5"/>
        <v>9.5625</v>
      </c>
      <c r="O39" s="10">
        <f t="shared" si="3"/>
        <v>6.1012500000000003</v>
      </c>
      <c r="P39">
        <v>6.8000000000000005E-2</v>
      </c>
      <c r="Q39" s="2" t="s">
        <v>57</v>
      </c>
      <c r="R39">
        <v>4.1599999999999998E-2</v>
      </c>
    </row>
    <row r="40" spans="1:18" x14ac:dyDescent="0.25">
      <c r="A40" s="1">
        <v>0.39583333333333298</v>
      </c>
      <c r="B40" s="2" t="s">
        <v>37</v>
      </c>
      <c r="C40">
        <v>66.224999999999994</v>
      </c>
      <c r="D40" t="s">
        <v>19</v>
      </c>
      <c r="E40" s="11">
        <f t="shared" si="0"/>
        <v>0</v>
      </c>
      <c r="F40" t="s">
        <v>3</v>
      </c>
      <c r="G40">
        <f t="shared" si="6"/>
        <v>-24.867857142857133</v>
      </c>
      <c r="H40" t="s">
        <v>5</v>
      </c>
      <c r="I40" s="5">
        <f t="shared" si="4"/>
        <v>0.22418928571428592</v>
      </c>
      <c r="J40" s="10">
        <v>41.357142857142861</v>
      </c>
      <c r="K40" t="s">
        <v>17</v>
      </c>
      <c r="L40" s="10">
        <f t="shared" si="1"/>
        <v>16.556249999999999</v>
      </c>
      <c r="M40" s="10">
        <f t="shared" si="2"/>
        <v>0</v>
      </c>
      <c r="N40" s="10">
        <f t="shared" si="5"/>
        <v>10.339285714285715</v>
      </c>
      <c r="O40" s="10">
        <f t="shared" si="3"/>
        <v>6.2169642857142833</v>
      </c>
      <c r="P40">
        <v>6.6000000000000003E-2</v>
      </c>
      <c r="Q40" s="2" t="s">
        <v>57</v>
      </c>
      <c r="R40">
        <v>3.8400000000000004E-2</v>
      </c>
    </row>
    <row r="41" spans="1:18" x14ac:dyDescent="0.25">
      <c r="A41" s="1">
        <v>0.40625</v>
      </c>
      <c r="B41" s="2" t="s">
        <v>34</v>
      </c>
      <c r="C41">
        <v>69.074999999999989</v>
      </c>
      <c r="D41" t="s">
        <v>9</v>
      </c>
      <c r="E41" s="11">
        <f t="shared" si="0"/>
        <v>21.717857142857127</v>
      </c>
      <c r="F41" t="s">
        <v>3</v>
      </c>
      <c r="G41">
        <v>0</v>
      </c>
      <c r="H41" t="s">
        <v>47</v>
      </c>
      <c r="I41" s="5">
        <f t="shared" si="4"/>
        <v>0.22418928571428592</v>
      </c>
      <c r="J41" s="10">
        <v>47.357142857142861</v>
      </c>
      <c r="K41" t="s">
        <v>17</v>
      </c>
      <c r="L41" s="10">
        <f t="shared" si="1"/>
        <v>17.268749999999997</v>
      </c>
      <c r="M41" s="10">
        <f t="shared" si="2"/>
        <v>5.4294642857142819</v>
      </c>
      <c r="N41" s="10">
        <f t="shared" si="5"/>
        <v>11.839285714285715</v>
      </c>
      <c r="O41" s="10">
        <f t="shared" si="3"/>
        <v>0</v>
      </c>
      <c r="P41">
        <v>6.2E-2</v>
      </c>
      <c r="Q41" s="2" t="s">
        <v>56</v>
      </c>
      <c r="R41">
        <v>3.5200000000000002E-2</v>
      </c>
    </row>
    <row r="42" spans="1:18" x14ac:dyDescent="0.25">
      <c r="A42" s="1">
        <v>0.41666666666666702</v>
      </c>
      <c r="B42" s="2" t="s">
        <v>34</v>
      </c>
      <c r="C42">
        <v>68.114999999999995</v>
      </c>
      <c r="D42" t="s">
        <v>9</v>
      </c>
      <c r="E42" s="11">
        <f t="shared" si="0"/>
        <v>14.65071428571428</v>
      </c>
      <c r="F42" t="s">
        <v>3</v>
      </c>
      <c r="G42">
        <v>0</v>
      </c>
      <c r="H42" t="s">
        <v>47</v>
      </c>
      <c r="I42" s="5">
        <f t="shared" si="4"/>
        <v>0.22418928571428592</v>
      </c>
      <c r="J42" s="10">
        <v>53.464285714285715</v>
      </c>
      <c r="K42" t="s">
        <v>17</v>
      </c>
      <c r="L42" s="10">
        <f t="shared" si="1"/>
        <v>17.028749999999999</v>
      </c>
      <c r="M42" s="10">
        <f t="shared" si="2"/>
        <v>3.6626785714285699</v>
      </c>
      <c r="N42" s="10">
        <f t="shared" si="5"/>
        <v>13.366071428571429</v>
      </c>
      <c r="O42" s="10">
        <f t="shared" si="3"/>
        <v>0</v>
      </c>
      <c r="P42">
        <v>5.8000000000000003E-2</v>
      </c>
      <c r="Q42" s="2" t="s">
        <v>56</v>
      </c>
      <c r="R42">
        <v>3.2000000000000001E-2</v>
      </c>
    </row>
    <row r="43" spans="1:18" x14ac:dyDescent="0.25">
      <c r="A43" s="1">
        <v>0.42708333333333298</v>
      </c>
      <c r="B43" s="2" t="s">
        <v>34</v>
      </c>
      <c r="C43">
        <v>71.820000000000007</v>
      </c>
      <c r="D43" t="s">
        <v>9</v>
      </c>
      <c r="E43" s="11">
        <f t="shared" si="0"/>
        <v>20.391428571428577</v>
      </c>
      <c r="F43" t="s">
        <v>3</v>
      </c>
      <c r="G43">
        <v>0</v>
      </c>
      <c r="H43" t="s">
        <v>47</v>
      </c>
      <c r="I43" s="5">
        <f t="shared" si="4"/>
        <v>0.22418928571428592</v>
      </c>
      <c r="J43" s="10">
        <v>51.428571428571431</v>
      </c>
      <c r="K43" t="s">
        <v>17</v>
      </c>
      <c r="L43" s="10">
        <f t="shared" si="1"/>
        <v>17.955000000000002</v>
      </c>
      <c r="M43" s="10">
        <f t="shared" si="2"/>
        <v>5.0978571428571442</v>
      </c>
      <c r="N43" s="10">
        <f t="shared" si="5"/>
        <v>12.857142857142858</v>
      </c>
      <c r="O43" s="10">
        <f t="shared" si="3"/>
        <v>0</v>
      </c>
      <c r="P43">
        <v>5.3999999999999999E-2</v>
      </c>
      <c r="Q43" s="2" t="s">
        <v>56</v>
      </c>
      <c r="R43">
        <v>2.8799999999999999E-2</v>
      </c>
    </row>
    <row r="44" spans="1:18" x14ac:dyDescent="0.25">
      <c r="A44" s="1">
        <v>0.4375</v>
      </c>
      <c r="B44" s="2" t="s">
        <v>34</v>
      </c>
      <c r="C44">
        <v>65.099999999999994</v>
      </c>
      <c r="D44" t="s">
        <v>9</v>
      </c>
      <c r="E44" s="11">
        <f t="shared" si="0"/>
        <v>1.135714285714279</v>
      </c>
      <c r="F44" t="s">
        <v>3</v>
      </c>
      <c r="G44">
        <v>0</v>
      </c>
      <c r="H44" t="s">
        <v>47</v>
      </c>
      <c r="I44" s="5">
        <f t="shared" si="4"/>
        <v>0.22418928571428592</v>
      </c>
      <c r="J44" s="10">
        <v>63.964285714285715</v>
      </c>
      <c r="K44" t="s">
        <v>17</v>
      </c>
      <c r="L44" s="10">
        <f t="shared" si="1"/>
        <v>16.274999999999999</v>
      </c>
      <c r="M44" s="10">
        <f t="shared" si="2"/>
        <v>0.28392857142856975</v>
      </c>
      <c r="N44" s="10">
        <f t="shared" si="5"/>
        <v>15.991071428571429</v>
      </c>
      <c r="O44" s="10">
        <f t="shared" si="3"/>
        <v>0</v>
      </c>
      <c r="P44">
        <v>0.05</v>
      </c>
      <c r="Q44" s="2" t="s">
        <v>56</v>
      </c>
      <c r="R44">
        <v>2.5600000000000001E-2</v>
      </c>
    </row>
    <row r="45" spans="1:18" x14ac:dyDescent="0.25">
      <c r="A45" s="1">
        <v>0.44791666666666702</v>
      </c>
      <c r="B45" s="2" t="s">
        <v>34</v>
      </c>
      <c r="C45">
        <v>75.974999999999994</v>
      </c>
      <c r="D45" t="s">
        <v>9</v>
      </c>
      <c r="E45" s="11">
        <f t="shared" si="0"/>
        <v>6.9749999999999943</v>
      </c>
      <c r="F45" t="s">
        <v>3</v>
      </c>
      <c r="G45">
        <v>0</v>
      </c>
      <c r="H45" t="s">
        <v>47</v>
      </c>
      <c r="I45" s="5">
        <f t="shared" si="4"/>
        <v>0.22418928571428592</v>
      </c>
      <c r="J45" s="10">
        <v>69</v>
      </c>
      <c r="K45" t="s">
        <v>17</v>
      </c>
      <c r="L45" s="10">
        <f t="shared" si="1"/>
        <v>18.993749999999999</v>
      </c>
      <c r="M45" s="10">
        <f t="shared" si="2"/>
        <v>1.7437499999999986</v>
      </c>
      <c r="N45" s="10">
        <f t="shared" si="5"/>
        <v>17.25</v>
      </c>
      <c r="O45" s="10">
        <f t="shared" si="3"/>
        <v>0</v>
      </c>
      <c r="P45">
        <v>4.5999999999999999E-2</v>
      </c>
      <c r="Q45" s="2" t="s">
        <v>54</v>
      </c>
      <c r="R45">
        <v>2.4E-2</v>
      </c>
    </row>
    <row r="46" spans="1:18" x14ac:dyDescent="0.25">
      <c r="A46" s="1">
        <v>0.45833333333333298</v>
      </c>
      <c r="B46" s="2" t="s">
        <v>34</v>
      </c>
      <c r="C46">
        <v>75.960000000000008</v>
      </c>
      <c r="D46" t="s">
        <v>9</v>
      </c>
      <c r="E46" s="11">
        <f t="shared" si="0"/>
        <v>15.531428571428577</v>
      </c>
      <c r="F46" t="s">
        <v>3</v>
      </c>
      <c r="G46">
        <v>0</v>
      </c>
      <c r="H46" t="s">
        <v>47</v>
      </c>
      <c r="I46" s="5">
        <f t="shared" si="4"/>
        <v>0.22418928571428592</v>
      </c>
      <c r="J46" s="10">
        <v>60.428571428571431</v>
      </c>
      <c r="K46" t="s">
        <v>17</v>
      </c>
      <c r="L46" s="10">
        <f t="shared" si="1"/>
        <v>18.990000000000002</v>
      </c>
      <c r="M46" s="10">
        <f t="shared" si="2"/>
        <v>3.8828571428571443</v>
      </c>
      <c r="N46" s="10">
        <f t="shared" si="5"/>
        <v>15.107142857142858</v>
      </c>
      <c r="O46" s="10">
        <f t="shared" si="3"/>
        <v>0</v>
      </c>
      <c r="P46">
        <v>4.2000000000000003E-2</v>
      </c>
      <c r="Q46" s="2" t="s">
        <v>54</v>
      </c>
      <c r="R46">
        <v>2.2400000000000003E-2</v>
      </c>
    </row>
    <row r="47" spans="1:18" x14ac:dyDescent="0.25">
      <c r="A47" s="1">
        <v>0.46875</v>
      </c>
      <c r="B47" s="2" t="s">
        <v>36</v>
      </c>
      <c r="C47">
        <v>70.784999999999997</v>
      </c>
      <c r="D47" t="s">
        <v>10</v>
      </c>
      <c r="E47" s="11">
        <f>C47-J47+G47</f>
        <v>-0.119285714285712</v>
      </c>
      <c r="F47" s="1" t="s">
        <v>0</v>
      </c>
      <c r="G47">
        <v>5.0599999999999996</v>
      </c>
      <c r="H47" t="s">
        <v>4</v>
      </c>
      <c r="I47" s="5">
        <f t="shared" si="4"/>
        <v>0.24948928571428591</v>
      </c>
      <c r="J47" s="10">
        <v>75.964285714285708</v>
      </c>
      <c r="K47" t="s">
        <v>17</v>
      </c>
      <c r="L47" s="10">
        <f t="shared" si="1"/>
        <v>17.696249999999999</v>
      </c>
      <c r="M47" s="10">
        <f t="shared" si="2"/>
        <v>-2.9821428571427999E-2</v>
      </c>
      <c r="N47" s="10">
        <f t="shared" si="5"/>
        <v>18.991071428571427</v>
      </c>
      <c r="O47" s="10">
        <f t="shared" si="3"/>
        <v>0</v>
      </c>
      <c r="P47">
        <v>3.7999999999999999E-2</v>
      </c>
      <c r="Q47" s="2" t="s">
        <v>55</v>
      </c>
      <c r="R47">
        <v>2.0799999999999999E-2</v>
      </c>
    </row>
    <row r="48" spans="1:18" x14ac:dyDescent="0.25">
      <c r="A48" s="1">
        <v>0.47916666666666702</v>
      </c>
      <c r="B48" s="2" t="s">
        <v>36</v>
      </c>
      <c r="C48">
        <v>73.5</v>
      </c>
      <c r="D48" t="s">
        <v>10</v>
      </c>
      <c r="E48" s="11">
        <f t="shared" si="0"/>
        <v>-1.380000000000015</v>
      </c>
      <c r="F48" s="1" t="s">
        <v>0</v>
      </c>
      <c r="G48">
        <v>9.8699999999999992</v>
      </c>
      <c r="H48" t="s">
        <v>4</v>
      </c>
      <c r="I48" s="5">
        <f t="shared" si="4"/>
        <v>0.29883928571428592</v>
      </c>
      <c r="J48" s="10">
        <v>84.750000000000014</v>
      </c>
      <c r="K48" t="s">
        <v>17</v>
      </c>
      <c r="L48" s="10">
        <f t="shared" si="1"/>
        <v>18.375</v>
      </c>
      <c r="M48" s="10">
        <f t="shared" si="2"/>
        <v>-0.34500000000000375</v>
      </c>
      <c r="N48" s="10">
        <f t="shared" si="5"/>
        <v>21.187500000000004</v>
      </c>
      <c r="O48" s="10">
        <f t="shared" si="3"/>
        <v>0</v>
      </c>
      <c r="P48">
        <v>3.4000000000000002E-2</v>
      </c>
      <c r="Q48" s="2" t="s">
        <v>55</v>
      </c>
      <c r="R48">
        <v>1.9200000000000002E-2</v>
      </c>
    </row>
    <row r="49" spans="1:18" x14ac:dyDescent="0.25">
      <c r="A49" s="1">
        <v>0.48958333333333298</v>
      </c>
      <c r="B49" s="2" t="s">
        <v>36</v>
      </c>
      <c r="C49">
        <v>71.88</v>
      </c>
      <c r="D49" t="s">
        <v>10</v>
      </c>
      <c r="E49" s="11">
        <f t="shared" si="0"/>
        <v>-0.89857142857143479</v>
      </c>
      <c r="F49" s="1" t="s">
        <v>0</v>
      </c>
      <c r="G49">
        <v>11.65</v>
      </c>
      <c r="H49" t="s">
        <v>4</v>
      </c>
      <c r="I49" s="5">
        <f t="shared" si="4"/>
        <v>0.35708928571428594</v>
      </c>
      <c r="J49" s="10">
        <v>84.428571428571431</v>
      </c>
      <c r="K49" t="s">
        <v>17</v>
      </c>
      <c r="L49" s="10">
        <f t="shared" si="1"/>
        <v>17.97</v>
      </c>
      <c r="M49" s="10">
        <f t="shared" si="2"/>
        <v>-0.2246428571428587</v>
      </c>
      <c r="N49" s="10">
        <f t="shared" si="5"/>
        <v>21.107142857142858</v>
      </c>
      <c r="O49" s="10">
        <f t="shared" si="3"/>
        <v>0</v>
      </c>
      <c r="P49">
        <v>0.03</v>
      </c>
      <c r="Q49" s="2" t="s">
        <v>55</v>
      </c>
      <c r="R49">
        <v>1.7600000000000001E-2</v>
      </c>
    </row>
    <row r="50" spans="1:18" x14ac:dyDescent="0.25">
      <c r="A50" s="1">
        <v>0.5</v>
      </c>
      <c r="B50" s="2" t="s">
        <v>36</v>
      </c>
      <c r="C50">
        <v>69.36</v>
      </c>
      <c r="D50" t="s">
        <v>10</v>
      </c>
      <c r="E50" s="11">
        <f t="shared" si="0"/>
        <v>-0.73000000000000043</v>
      </c>
      <c r="F50" s="1" t="s">
        <v>0</v>
      </c>
      <c r="G50">
        <v>21.41</v>
      </c>
      <c r="H50" t="s">
        <v>4</v>
      </c>
      <c r="I50" s="5">
        <f t="shared" si="4"/>
        <v>0.46413928571428598</v>
      </c>
      <c r="J50" s="10">
        <v>91.5</v>
      </c>
      <c r="K50" t="s">
        <v>17</v>
      </c>
      <c r="L50" s="10">
        <f t="shared" si="1"/>
        <v>17.34</v>
      </c>
      <c r="M50" s="10">
        <f t="shared" si="2"/>
        <v>-0.18250000000000011</v>
      </c>
      <c r="N50" s="10">
        <f t="shared" si="5"/>
        <v>22.875</v>
      </c>
      <c r="O50" s="10">
        <f t="shared" si="3"/>
        <v>0</v>
      </c>
      <c r="P50">
        <v>2.8000000000000001E-2</v>
      </c>
      <c r="Q50" s="2" t="s">
        <v>55</v>
      </c>
      <c r="R50">
        <v>1.6E-2</v>
      </c>
    </row>
    <row r="51" spans="1:18" x14ac:dyDescent="0.25">
      <c r="A51" s="1">
        <v>0.51041666666666696</v>
      </c>
      <c r="B51" s="2" t="s">
        <v>36</v>
      </c>
      <c r="C51">
        <v>71.655000000000001</v>
      </c>
      <c r="D51" t="s">
        <v>10</v>
      </c>
      <c r="E51" s="11">
        <f t="shared" si="0"/>
        <v>-0.77071428571429124</v>
      </c>
      <c r="F51" s="1" t="s">
        <v>0</v>
      </c>
      <c r="G51">
        <v>20.36</v>
      </c>
      <c r="H51" t="s">
        <v>4</v>
      </c>
      <c r="I51" s="5">
        <f>I50+G51*0.25%</f>
        <v>0.51503928571428603</v>
      </c>
      <c r="J51" s="10">
        <v>92.785714285714292</v>
      </c>
      <c r="K51" t="s">
        <v>17</v>
      </c>
      <c r="L51" s="10">
        <f t="shared" si="1"/>
        <v>17.91375</v>
      </c>
      <c r="M51" s="10">
        <f t="shared" si="2"/>
        <v>-0.19267857142857281</v>
      </c>
      <c r="N51" s="10">
        <f t="shared" si="5"/>
        <v>23.196428571428573</v>
      </c>
      <c r="O51" s="10">
        <f t="shared" si="3"/>
        <v>0</v>
      </c>
      <c r="P51">
        <v>2.5999999999999999E-2</v>
      </c>
      <c r="Q51" s="2" t="s">
        <v>55</v>
      </c>
      <c r="R51">
        <v>1.6E-2</v>
      </c>
    </row>
    <row r="52" spans="1:18" x14ac:dyDescent="0.25">
      <c r="A52" s="1">
        <v>0.52083333333333304</v>
      </c>
      <c r="B52" s="2" t="s">
        <v>36</v>
      </c>
      <c r="C52">
        <v>73.905000000000001</v>
      </c>
      <c r="D52" t="s">
        <v>10</v>
      </c>
      <c r="E52" s="11">
        <f t="shared" si="0"/>
        <v>-0.87357142857142911</v>
      </c>
      <c r="F52" s="1" t="s">
        <v>0</v>
      </c>
      <c r="G52">
        <v>9.65</v>
      </c>
      <c r="H52" t="s">
        <v>4</v>
      </c>
      <c r="I52" s="5">
        <f t="shared" ref="I52:I58" si="7">I51+G52*0.25%</f>
        <v>0.53916428571428598</v>
      </c>
      <c r="J52" s="10">
        <v>84.428571428571431</v>
      </c>
      <c r="K52" t="s">
        <v>17</v>
      </c>
      <c r="L52" s="10">
        <f t="shared" si="1"/>
        <v>18.47625</v>
      </c>
      <c r="M52" s="10">
        <f t="shared" si="2"/>
        <v>-0.21839285714285728</v>
      </c>
      <c r="N52" s="10">
        <f t="shared" si="5"/>
        <v>21.107142857142858</v>
      </c>
      <c r="O52" s="10">
        <f t="shared" si="3"/>
        <v>0</v>
      </c>
      <c r="P52">
        <v>2.4E-2</v>
      </c>
      <c r="Q52" s="2" t="s">
        <v>55</v>
      </c>
      <c r="R52">
        <v>1.7600000000000001E-2</v>
      </c>
    </row>
    <row r="53" spans="1:18" x14ac:dyDescent="0.25">
      <c r="A53" s="1">
        <v>0.53125</v>
      </c>
      <c r="B53" s="2" t="s">
        <v>36</v>
      </c>
      <c r="C53">
        <v>69.63</v>
      </c>
      <c r="D53" t="s">
        <v>10</v>
      </c>
      <c r="E53" s="11">
        <f t="shared" si="0"/>
        <v>-1.3000000000000043</v>
      </c>
      <c r="F53" s="1" t="s">
        <v>0</v>
      </c>
      <c r="G53">
        <v>12.32</v>
      </c>
      <c r="H53" t="s">
        <v>4</v>
      </c>
      <c r="I53" s="5">
        <f t="shared" si="7"/>
        <v>0.56996428571428603</v>
      </c>
      <c r="J53" s="10">
        <v>83.25</v>
      </c>
      <c r="K53" t="s">
        <v>17</v>
      </c>
      <c r="L53" s="10">
        <f t="shared" si="1"/>
        <v>17.407499999999999</v>
      </c>
      <c r="M53" s="10">
        <f t="shared" si="2"/>
        <v>-0.32500000000000107</v>
      </c>
      <c r="N53" s="10">
        <f t="shared" si="5"/>
        <v>20.8125</v>
      </c>
      <c r="O53" s="10">
        <f t="shared" si="3"/>
        <v>0</v>
      </c>
      <c r="P53">
        <v>2.5999999999999999E-2</v>
      </c>
      <c r="Q53" s="2" t="s">
        <v>55</v>
      </c>
      <c r="R53">
        <v>1.9200000000000002E-2</v>
      </c>
    </row>
    <row r="54" spans="1:18" x14ac:dyDescent="0.25">
      <c r="A54" s="1">
        <v>0.54166666666666696</v>
      </c>
      <c r="B54" s="2" t="s">
        <v>36</v>
      </c>
      <c r="C54">
        <v>69.314999999999998</v>
      </c>
      <c r="D54" t="s">
        <v>10</v>
      </c>
      <c r="E54" s="11">
        <f t="shared" si="0"/>
        <v>-2.1364285714285849</v>
      </c>
      <c r="F54" s="1" t="s">
        <v>0</v>
      </c>
      <c r="G54">
        <v>19.62</v>
      </c>
      <c r="H54" t="s">
        <v>4</v>
      </c>
      <c r="I54" s="5">
        <f t="shared" si="7"/>
        <v>0.61901428571428607</v>
      </c>
      <c r="J54" s="10">
        <v>91.071428571428584</v>
      </c>
      <c r="K54" t="s">
        <v>17</v>
      </c>
      <c r="L54" s="10">
        <f t="shared" si="1"/>
        <v>17.328749999999999</v>
      </c>
      <c r="M54" s="10">
        <f t="shared" si="2"/>
        <v>-0.53410714285714622</v>
      </c>
      <c r="N54" s="10">
        <f t="shared" si="5"/>
        <v>22.767857142857146</v>
      </c>
      <c r="O54" s="10">
        <f t="shared" si="3"/>
        <v>0</v>
      </c>
      <c r="P54">
        <v>2.8000000000000001E-2</v>
      </c>
      <c r="Q54" s="2" t="s">
        <v>55</v>
      </c>
      <c r="R54">
        <v>2.0799999999999999E-2</v>
      </c>
    </row>
    <row r="55" spans="1:18" x14ac:dyDescent="0.25">
      <c r="A55" s="1">
        <v>0.55208333333333304</v>
      </c>
      <c r="B55" s="2" t="s">
        <v>36</v>
      </c>
      <c r="C55">
        <v>69.465000000000003</v>
      </c>
      <c r="D55" t="s">
        <v>10</v>
      </c>
      <c r="E55" s="11">
        <f t="shared" si="0"/>
        <v>-1.7807142857142892</v>
      </c>
      <c r="F55" s="1" t="s">
        <v>0</v>
      </c>
      <c r="G55">
        <v>18.54</v>
      </c>
      <c r="H55" t="s">
        <v>4</v>
      </c>
      <c r="I55" s="5">
        <f t="shared" si="7"/>
        <v>0.66536428571428607</v>
      </c>
      <c r="J55" s="10">
        <v>89.785714285714292</v>
      </c>
      <c r="K55" t="s">
        <v>17</v>
      </c>
      <c r="L55" s="10">
        <f t="shared" si="1"/>
        <v>17.366250000000001</v>
      </c>
      <c r="M55" s="10">
        <f t="shared" si="2"/>
        <v>-0.44517857142857231</v>
      </c>
      <c r="N55" s="10">
        <f t="shared" si="5"/>
        <v>22.446428571428573</v>
      </c>
      <c r="O55" s="10">
        <f t="shared" si="3"/>
        <v>0</v>
      </c>
      <c r="P55">
        <v>0.03</v>
      </c>
      <c r="Q55" s="2" t="s">
        <v>55</v>
      </c>
      <c r="R55">
        <v>2.2400000000000003E-2</v>
      </c>
    </row>
    <row r="56" spans="1:18" x14ac:dyDescent="0.25">
      <c r="A56" s="1">
        <v>0.5625</v>
      </c>
      <c r="B56" s="2" t="s">
        <v>36</v>
      </c>
      <c r="C56">
        <v>70.185000000000002</v>
      </c>
      <c r="D56" t="s">
        <v>10</v>
      </c>
      <c r="E56" s="11">
        <f t="shared" si="0"/>
        <v>-0.66071428571429003</v>
      </c>
      <c r="F56" s="1" t="s">
        <v>0</v>
      </c>
      <c r="G56">
        <v>10.69</v>
      </c>
      <c r="H56" t="s">
        <v>4</v>
      </c>
      <c r="I56" s="5">
        <f t="shared" si="7"/>
        <v>0.69208928571428607</v>
      </c>
      <c r="J56" s="10">
        <v>81.535714285714292</v>
      </c>
      <c r="K56" t="s">
        <v>17</v>
      </c>
      <c r="L56" s="10">
        <f t="shared" si="1"/>
        <v>17.546250000000001</v>
      </c>
      <c r="M56" s="10">
        <f t="shared" si="2"/>
        <v>-0.16517857142857251</v>
      </c>
      <c r="N56" s="10">
        <f t="shared" si="5"/>
        <v>20.383928571428573</v>
      </c>
      <c r="O56" s="10">
        <f t="shared" si="3"/>
        <v>0</v>
      </c>
      <c r="P56">
        <v>3.2000000000000001E-2</v>
      </c>
      <c r="Q56" s="2" t="s">
        <v>55</v>
      </c>
      <c r="R56">
        <v>2.4E-2</v>
      </c>
    </row>
    <row r="57" spans="1:18" x14ac:dyDescent="0.25">
      <c r="A57" s="1">
        <v>0.57291666666666696</v>
      </c>
      <c r="B57" s="2" t="s">
        <v>36</v>
      </c>
      <c r="C57">
        <v>71.789999999999992</v>
      </c>
      <c r="D57" t="s">
        <v>10</v>
      </c>
      <c r="E57" s="11">
        <f t="shared" si="0"/>
        <v>-3.8457142857142994</v>
      </c>
      <c r="F57" s="1" t="s">
        <v>0</v>
      </c>
      <c r="G57">
        <v>9.65</v>
      </c>
      <c r="H57" t="s">
        <v>4</v>
      </c>
      <c r="I57" s="5">
        <f t="shared" si="7"/>
        <v>0.71621428571428603</v>
      </c>
      <c r="J57" s="10">
        <v>85.285714285714292</v>
      </c>
      <c r="K57" t="s">
        <v>17</v>
      </c>
      <c r="L57" s="10">
        <f t="shared" si="1"/>
        <v>17.947499999999998</v>
      </c>
      <c r="M57" s="10">
        <f t="shared" si="2"/>
        <v>-0.96142857142857485</v>
      </c>
      <c r="N57" s="10">
        <f t="shared" si="5"/>
        <v>21.321428571428573</v>
      </c>
      <c r="O57" s="10">
        <f t="shared" si="3"/>
        <v>0</v>
      </c>
      <c r="P57">
        <v>3.4000000000000002E-2</v>
      </c>
      <c r="Q57" s="2" t="s">
        <v>55</v>
      </c>
      <c r="R57">
        <v>2.5600000000000001E-2</v>
      </c>
    </row>
    <row r="58" spans="1:18" x14ac:dyDescent="0.25">
      <c r="A58" s="1">
        <v>0.58333333333333304</v>
      </c>
      <c r="B58" s="2" t="s">
        <v>36</v>
      </c>
      <c r="C58">
        <v>65.894999999999996</v>
      </c>
      <c r="D58" t="s">
        <v>10</v>
      </c>
      <c r="E58" s="11">
        <f t="shared" si="0"/>
        <v>-1.3650000000000198</v>
      </c>
      <c r="F58" s="1" t="s">
        <v>0</v>
      </c>
      <c r="G58">
        <v>18.239999999999998</v>
      </c>
      <c r="H58" t="s">
        <v>4</v>
      </c>
      <c r="I58" s="5">
        <f t="shared" si="7"/>
        <v>0.761814285714286</v>
      </c>
      <c r="J58" s="10">
        <v>85.500000000000014</v>
      </c>
      <c r="K58" t="s">
        <v>17</v>
      </c>
      <c r="L58" s="10">
        <f t="shared" si="1"/>
        <v>16.473749999999999</v>
      </c>
      <c r="M58" s="10">
        <f t="shared" si="2"/>
        <v>-0.34125000000000494</v>
      </c>
      <c r="N58" s="10">
        <f t="shared" si="5"/>
        <v>21.375000000000004</v>
      </c>
      <c r="O58" s="10">
        <f t="shared" si="3"/>
        <v>0</v>
      </c>
      <c r="P58">
        <v>3.5999999999999997E-2</v>
      </c>
      <c r="Q58" s="2" t="s">
        <v>55</v>
      </c>
      <c r="R58">
        <v>2.7200000000000002E-2</v>
      </c>
    </row>
    <row r="59" spans="1:18" x14ac:dyDescent="0.25">
      <c r="A59" s="1">
        <v>0.59375</v>
      </c>
      <c r="B59" s="2" t="s">
        <v>36</v>
      </c>
      <c r="C59">
        <v>68.28</v>
      </c>
      <c r="D59" t="s">
        <v>10</v>
      </c>
      <c r="E59" s="11">
        <f t="shared" si="0"/>
        <v>-2.4500000000000135</v>
      </c>
      <c r="F59" s="1" t="s">
        <v>0</v>
      </c>
      <c r="G59">
        <v>11.02</v>
      </c>
      <c r="H59" t="s">
        <v>4</v>
      </c>
      <c r="I59" s="5">
        <f t="shared" ref="I59:I97" si="8">I58+G59*0.25%</f>
        <v>0.78936428571428596</v>
      </c>
      <c r="J59" s="10">
        <v>81.750000000000014</v>
      </c>
      <c r="K59" t="s">
        <v>17</v>
      </c>
      <c r="L59" s="10">
        <f t="shared" si="1"/>
        <v>17.07</v>
      </c>
      <c r="M59" s="10">
        <f t="shared" si="2"/>
        <v>-0.61250000000000338</v>
      </c>
      <c r="N59" s="10">
        <f t="shared" si="5"/>
        <v>20.437500000000004</v>
      </c>
      <c r="O59" s="10">
        <f t="shared" si="3"/>
        <v>0</v>
      </c>
      <c r="P59">
        <v>3.7999999999999999E-2</v>
      </c>
      <c r="Q59" s="2" t="s">
        <v>55</v>
      </c>
      <c r="R59">
        <v>2.8799999999999999E-2</v>
      </c>
    </row>
    <row r="60" spans="1:18" x14ac:dyDescent="0.25">
      <c r="A60" s="1">
        <v>0.60416666666666696</v>
      </c>
      <c r="B60" s="2" t="s">
        <v>36</v>
      </c>
      <c r="C60">
        <v>66.795000000000002</v>
      </c>
      <c r="D60" t="s">
        <v>10</v>
      </c>
      <c r="E60" s="11">
        <f t="shared" si="0"/>
        <v>-1.9949999999999974</v>
      </c>
      <c r="F60" s="1" t="s">
        <v>0</v>
      </c>
      <c r="G60">
        <v>10.71</v>
      </c>
      <c r="H60" t="s">
        <v>4</v>
      </c>
      <c r="I60" s="5">
        <f t="shared" si="8"/>
        <v>0.81613928571428596</v>
      </c>
      <c r="J60" s="10">
        <v>79.5</v>
      </c>
      <c r="K60" t="s">
        <v>17</v>
      </c>
      <c r="L60" s="10">
        <f t="shared" si="1"/>
        <v>16.69875</v>
      </c>
      <c r="M60" s="10">
        <f t="shared" si="2"/>
        <v>-0.49874999999999936</v>
      </c>
      <c r="N60" s="10">
        <f t="shared" si="5"/>
        <v>19.875</v>
      </c>
      <c r="O60" s="10">
        <f t="shared" si="3"/>
        <v>0</v>
      </c>
      <c r="P60">
        <v>0.04</v>
      </c>
      <c r="Q60" s="2" t="s">
        <v>54</v>
      </c>
      <c r="R60">
        <v>3.04E-2</v>
      </c>
    </row>
    <row r="61" spans="1:18" x14ac:dyDescent="0.25">
      <c r="A61" s="1">
        <v>0.61458333333333304</v>
      </c>
      <c r="B61" s="2" t="s">
        <v>36</v>
      </c>
      <c r="C61">
        <v>60.66</v>
      </c>
      <c r="D61" t="s">
        <v>10</v>
      </c>
      <c r="E61" s="11">
        <f t="shared" si="0"/>
        <v>-0.51428571428572578</v>
      </c>
      <c r="F61" s="1" t="s">
        <v>0</v>
      </c>
      <c r="G61">
        <v>6.54</v>
      </c>
      <c r="H61" t="s">
        <v>4</v>
      </c>
      <c r="I61" s="5">
        <f t="shared" si="8"/>
        <v>0.83248928571428593</v>
      </c>
      <c r="J61" s="10">
        <v>67.714285714285722</v>
      </c>
      <c r="K61" t="s">
        <v>17</v>
      </c>
      <c r="L61" s="10">
        <f t="shared" si="1"/>
        <v>15.164999999999999</v>
      </c>
      <c r="M61" s="10">
        <f t="shared" si="2"/>
        <v>-0.12857142857143145</v>
      </c>
      <c r="N61" s="10">
        <f t="shared" si="5"/>
        <v>16.928571428571431</v>
      </c>
      <c r="O61" s="10">
        <f t="shared" si="3"/>
        <v>0</v>
      </c>
      <c r="P61">
        <v>4.2000000000000003E-2</v>
      </c>
      <c r="Q61" s="2" t="s">
        <v>54</v>
      </c>
      <c r="R61">
        <v>3.2000000000000001E-2</v>
      </c>
    </row>
    <row r="62" spans="1:18" x14ac:dyDescent="0.25">
      <c r="A62" s="1">
        <v>0.625</v>
      </c>
      <c r="B62" s="2" t="s">
        <v>36</v>
      </c>
      <c r="C62">
        <v>63.765000000000001</v>
      </c>
      <c r="D62" t="s">
        <v>9</v>
      </c>
      <c r="E62" s="11">
        <f t="shared" si="0"/>
        <v>-0.52071428571429124</v>
      </c>
      <c r="F62" s="1" t="s">
        <v>0</v>
      </c>
      <c r="G62">
        <v>0</v>
      </c>
      <c r="H62" t="s">
        <v>47</v>
      </c>
      <c r="I62" s="5">
        <f t="shared" si="8"/>
        <v>0.83248928571428593</v>
      </c>
      <c r="J62" s="10">
        <v>64.285714285714292</v>
      </c>
      <c r="K62" t="s">
        <v>17</v>
      </c>
      <c r="L62" s="10">
        <f t="shared" si="1"/>
        <v>15.94125</v>
      </c>
      <c r="M62" s="10">
        <f t="shared" si="2"/>
        <v>-0.13017857142857281</v>
      </c>
      <c r="N62" s="10">
        <f t="shared" si="5"/>
        <v>16.071428571428573</v>
      </c>
      <c r="O62" s="10">
        <f t="shared" si="3"/>
        <v>0</v>
      </c>
      <c r="P62">
        <v>4.3999999999999997E-2</v>
      </c>
      <c r="Q62" s="2" t="s">
        <v>54</v>
      </c>
      <c r="R62">
        <v>3.3600000000000005E-2</v>
      </c>
    </row>
    <row r="63" spans="1:18" x14ac:dyDescent="0.25">
      <c r="A63" s="1">
        <v>0.63541666666666696</v>
      </c>
      <c r="B63" s="2" t="s">
        <v>34</v>
      </c>
      <c r="C63">
        <v>63.480000000000004</v>
      </c>
      <c r="D63" t="s">
        <v>9</v>
      </c>
      <c r="E63" s="11">
        <f t="shared" si="0"/>
        <v>1.8728571428571428</v>
      </c>
      <c r="F63" s="1" t="s">
        <v>3</v>
      </c>
      <c r="G63">
        <v>0</v>
      </c>
      <c r="H63" t="s">
        <v>47</v>
      </c>
      <c r="I63" s="5">
        <f t="shared" si="8"/>
        <v>0.83248928571428593</v>
      </c>
      <c r="J63" s="10">
        <v>61.607142857142861</v>
      </c>
      <c r="K63" t="s">
        <v>17</v>
      </c>
      <c r="L63" s="10">
        <f t="shared" si="1"/>
        <v>15.870000000000001</v>
      </c>
      <c r="M63" s="10">
        <f t="shared" si="2"/>
        <v>0.46821428571428569</v>
      </c>
      <c r="N63" s="10">
        <f t="shared" si="5"/>
        <v>15.401785714285715</v>
      </c>
      <c r="O63" s="10">
        <f t="shared" si="3"/>
        <v>0</v>
      </c>
      <c r="P63">
        <v>4.5999999999999999E-2</v>
      </c>
      <c r="Q63" s="2" t="s">
        <v>54</v>
      </c>
      <c r="R63">
        <v>3.5200000000000002E-2</v>
      </c>
    </row>
    <row r="64" spans="1:18" x14ac:dyDescent="0.25">
      <c r="A64" s="1">
        <v>0.64583333333333304</v>
      </c>
      <c r="B64" s="2" t="s">
        <v>34</v>
      </c>
      <c r="C64">
        <v>62.67</v>
      </c>
      <c r="D64" t="s">
        <v>9</v>
      </c>
      <c r="E64" s="11">
        <f t="shared" si="0"/>
        <v>1.5985714285714252</v>
      </c>
      <c r="F64" s="1" t="s">
        <v>3</v>
      </c>
      <c r="G64">
        <v>0</v>
      </c>
      <c r="H64" t="s">
        <v>47</v>
      </c>
      <c r="I64" s="5">
        <f t="shared" si="8"/>
        <v>0.83248928571428593</v>
      </c>
      <c r="J64" s="10">
        <v>61.071428571428577</v>
      </c>
      <c r="K64" t="s">
        <v>17</v>
      </c>
      <c r="L64" s="10">
        <f t="shared" si="1"/>
        <v>15.6675</v>
      </c>
      <c r="M64" s="10">
        <f t="shared" si="2"/>
        <v>0.3996428571428563</v>
      </c>
      <c r="N64" s="10">
        <f t="shared" si="5"/>
        <v>15.267857142857144</v>
      </c>
      <c r="O64" s="10">
        <f t="shared" si="3"/>
        <v>0</v>
      </c>
      <c r="P64">
        <v>4.8000000000000001E-2</v>
      </c>
      <c r="Q64" s="2" t="s">
        <v>54</v>
      </c>
      <c r="R64">
        <v>3.6799999999999999E-2</v>
      </c>
    </row>
    <row r="65" spans="1:18" x14ac:dyDescent="0.25">
      <c r="A65" s="1">
        <v>0.65625</v>
      </c>
      <c r="B65" s="2" t="s">
        <v>34</v>
      </c>
      <c r="C65">
        <v>62.550000000000004</v>
      </c>
      <c r="D65" t="s">
        <v>9</v>
      </c>
      <c r="E65" s="11">
        <f t="shared" si="0"/>
        <v>3.2999999999999972</v>
      </c>
      <c r="F65" s="1" t="s">
        <v>3</v>
      </c>
      <c r="G65">
        <v>0</v>
      </c>
      <c r="H65" t="s">
        <v>47</v>
      </c>
      <c r="I65" s="5">
        <f t="shared" si="8"/>
        <v>0.83248928571428593</v>
      </c>
      <c r="J65" s="10">
        <v>59.250000000000007</v>
      </c>
      <c r="K65" t="s">
        <v>17</v>
      </c>
      <c r="L65" s="10">
        <f t="shared" si="1"/>
        <v>15.637500000000001</v>
      </c>
      <c r="M65" s="10">
        <f t="shared" si="2"/>
        <v>0.82499999999999929</v>
      </c>
      <c r="N65" s="10">
        <f t="shared" si="5"/>
        <v>14.812500000000002</v>
      </c>
      <c r="O65" s="10">
        <f t="shared" si="3"/>
        <v>0</v>
      </c>
      <c r="P65">
        <v>0.05</v>
      </c>
      <c r="Q65" s="2" t="s">
        <v>56</v>
      </c>
      <c r="R65">
        <v>3.8400000000000004E-2</v>
      </c>
    </row>
    <row r="66" spans="1:18" x14ac:dyDescent="0.25">
      <c r="A66" s="1">
        <v>0.66666666666666696</v>
      </c>
      <c r="B66" s="2" t="s">
        <v>34</v>
      </c>
      <c r="C66">
        <v>55.755000000000003</v>
      </c>
      <c r="D66" t="s">
        <v>9</v>
      </c>
      <c r="E66" s="11">
        <f t="shared" si="0"/>
        <v>3.1478571428571414</v>
      </c>
      <c r="F66" s="1" t="s">
        <v>3</v>
      </c>
      <c r="G66">
        <v>0</v>
      </c>
      <c r="H66" t="s">
        <v>47</v>
      </c>
      <c r="I66" s="5">
        <f t="shared" si="8"/>
        <v>0.83248928571428593</v>
      </c>
      <c r="J66" s="10">
        <v>52.607142857142861</v>
      </c>
      <c r="K66" t="s">
        <v>17</v>
      </c>
      <c r="L66" s="10">
        <f t="shared" si="1"/>
        <v>13.938750000000001</v>
      </c>
      <c r="M66" s="10">
        <f t="shared" si="2"/>
        <v>0.78696428571428534</v>
      </c>
      <c r="N66" s="10">
        <f t="shared" si="5"/>
        <v>13.151785714285715</v>
      </c>
      <c r="O66" s="10">
        <f t="shared" si="3"/>
        <v>0</v>
      </c>
      <c r="P66">
        <v>5.1999999999999998E-2</v>
      </c>
      <c r="Q66" s="2" t="s">
        <v>56</v>
      </c>
      <c r="R66">
        <v>4.0000000000000008E-2</v>
      </c>
    </row>
    <row r="67" spans="1:18" x14ac:dyDescent="0.25">
      <c r="A67" s="1">
        <v>0.67708333333333304</v>
      </c>
      <c r="B67" s="2" t="s">
        <v>34</v>
      </c>
      <c r="C67">
        <v>59.429999999999993</v>
      </c>
      <c r="D67" t="s">
        <v>9</v>
      </c>
      <c r="E67" s="11">
        <f t="shared" ref="E67:E97" si="9">C67-J67+G67</f>
        <v>14.001428571428562</v>
      </c>
      <c r="F67" s="1" t="s">
        <v>3</v>
      </c>
      <c r="G67">
        <v>0</v>
      </c>
      <c r="H67" t="s">
        <v>47</v>
      </c>
      <c r="I67" s="5">
        <f t="shared" si="8"/>
        <v>0.83248928571428593</v>
      </c>
      <c r="J67" s="10">
        <v>45.428571428571431</v>
      </c>
      <c r="K67" t="s">
        <v>17</v>
      </c>
      <c r="L67" s="10">
        <f t="shared" ref="L67:L97" si="10">C67*0.25</f>
        <v>14.857499999999998</v>
      </c>
      <c r="M67" s="10">
        <f t="shared" ref="M67:M97" si="11">E67*0.25</f>
        <v>3.5003571428571405</v>
      </c>
      <c r="N67" s="10">
        <f t="shared" si="5"/>
        <v>11.357142857142858</v>
      </c>
      <c r="O67" s="10">
        <f t="shared" ref="O67:O97" si="12">IF(G67&lt;0,ABS(G67)*0.25,0)</f>
        <v>0</v>
      </c>
      <c r="P67">
        <v>5.3999999999999999E-2</v>
      </c>
      <c r="Q67" s="2" t="s">
        <v>56</v>
      </c>
      <c r="R67">
        <v>4.1599999999999998E-2</v>
      </c>
    </row>
    <row r="68" spans="1:18" x14ac:dyDescent="0.25">
      <c r="A68" s="1">
        <v>0.6875</v>
      </c>
      <c r="B68" s="2" t="s">
        <v>34</v>
      </c>
      <c r="C68">
        <v>56.37</v>
      </c>
      <c r="D68" t="s">
        <v>9</v>
      </c>
      <c r="E68" s="11">
        <f t="shared" si="9"/>
        <v>16.298571428571421</v>
      </c>
      <c r="F68" s="1" t="s">
        <v>3</v>
      </c>
      <c r="G68">
        <v>0</v>
      </c>
      <c r="H68" t="s">
        <v>47</v>
      </c>
      <c r="I68" s="5">
        <f t="shared" si="8"/>
        <v>0.83248928571428593</v>
      </c>
      <c r="J68" s="10">
        <v>40.071428571428577</v>
      </c>
      <c r="K68" t="s">
        <v>17</v>
      </c>
      <c r="L68" s="10">
        <f t="shared" si="10"/>
        <v>14.092499999999999</v>
      </c>
      <c r="M68" s="10">
        <f t="shared" si="11"/>
        <v>4.0746428571428552</v>
      </c>
      <c r="N68" s="10">
        <f t="shared" ref="N68:N97" si="13">J68*0.25</f>
        <v>10.017857142857144</v>
      </c>
      <c r="O68" s="10">
        <f t="shared" si="12"/>
        <v>0</v>
      </c>
      <c r="P68">
        <v>5.6000000000000001E-2</v>
      </c>
      <c r="Q68" s="2" t="s">
        <v>56</v>
      </c>
      <c r="R68">
        <v>4.3200000000000002E-2</v>
      </c>
    </row>
    <row r="69" spans="1:18" x14ac:dyDescent="0.25">
      <c r="A69" s="1">
        <v>0.69791666666666696</v>
      </c>
      <c r="B69" s="2" t="s">
        <v>34</v>
      </c>
      <c r="C69">
        <v>53.31</v>
      </c>
      <c r="D69" t="s">
        <v>9</v>
      </c>
      <c r="E69" s="11">
        <f t="shared" si="9"/>
        <v>22.238571428571429</v>
      </c>
      <c r="F69" s="1" t="s">
        <v>3</v>
      </c>
      <c r="G69">
        <v>0</v>
      </c>
      <c r="H69" t="s">
        <v>47</v>
      </c>
      <c r="I69" s="5">
        <f t="shared" si="8"/>
        <v>0.83248928571428593</v>
      </c>
      <c r="J69" s="10">
        <v>31.071428571428573</v>
      </c>
      <c r="K69" t="s">
        <v>17</v>
      </c>
      <c r="L69" s="10">
        <f t="shared" si="10"/>
        <v>13.327500000000001</v>
      </c>
      <c r="M69" s="10">
        <f t="shared" si="11"/>
        <v>5.5596428571428573</v>
      </c>
      <c r="N69" s="10">
        <f t="shared" si="13"/>
        <v>7.7678571428571432</v>
      </c>
      <c r="O69" s="10">
        <f t="shared" si="12"/>
        <v>0</v>
      </c>
      <c r="P69">
        <v>5.8000000000000003E-2</v>
      </c>
      <c r="Q69" s="2" t="s">
        <v>56</v>
      </c>
      <c r="R69">
        <v>4.4800000000000006E-2</v>
      </c>
    </row>
    <row r="70" spans="1:18" x14ac:dyDescent="0.25">
      <c r="A70" s="1">
        <v>0.70833333333333304</v>
      </c>
      <c r="B70" s="2" t="s">
        <v>34</v>
      </c>
      <c r="C70">
        <v>56.34</v>
      </c>
      <c r="D70" t="s">
        <v>9</v>
      </c>
      <c r="E70" s="11">
        <f t="shared" si="9"/>
        <v>29.125714285714288</v>
      </c>
      <c r="F70" s="1" t="s">
        <v>3</v>
      </c>
      <c r="G70">
        <v>0</v>
      </c>
      <c r="H70" t="s">
        <v>47</v>
      </c>
      <c r="I70" s="5">
        <f t="shared" si="8"/>
        <v>0.83248928571428593</v>
      </c>
      <c r="J70" s="10">
        <v>27.214285714285715</v>
      </c>
      <c r="K70" t="s">
        <v>17</v>
      </c>
      <c r="L70" s="10">
        <f t="shared" si="10"/>
        <v>14.085000000000001</v>
      </c>
      <c r="M70" s="10">
        <f t="shared" si="11"/>
        <v>7.281428571428572</v>
      </c>
      <c r="N70" s="10">
        <f t="shared" si="13"/>
        <v>6.8035714285714288</v>
      </c>
      <c r="O70" s="10">
        <f t="shared" si="12"/>
        <v>0</v>
      </c>
      <c r="P70">
        <v>6.2E-2</v>
      </c>
      <c r="Q70" s="2" t="s">
        <v>56</v>
      </c>
      <c r="R70">
        <v>4.6400000000000004E-2</v>
      </c>
    </row>
    <row r="71" spans="1:18" x14ac:dyDescent="0.25">
      <c r="A71" s="1">
        <v>0.71875</v>
      </c>
      <c r="B71" s="2" t="s">
        <v>34</v>
      </c>
      <c r="C71">
        <v>54.33</v>
      </c>
      <c r="D71" t="s">
        <v>9</v>
      </c>
      <c r="E71" s="11">
        <f t="shared" si="9"/>
        <v>29.687142857142852</v>
      </c>
      <c r="F71" s="1" t="s">
        <v>3</v>
      </c>
      <c r="G71">
        <v>0</v>
      </c>
      <c r="H71" t="s">
        <v>47</v>
      </c>
      <c r="I71" s="5">
        <f t="shared" si="8"/>
        <v>0.83248928571428593</v>
      </c>
      <c r="J71" s="10">
        <v>24.642857142857146</v>
      </c>
      <c r="K71" t="s">
        <v>17</v>
      </c>
      <c r="L71" s="10">
        <f t="shared" si="10"/>
        <v>13.5825</v>
      </c>
      <c r="M71" s="10">
        <f t="shared" si="11"/>
        <v>7.4217857142857131</v>
      </c>
      <c r="N71" s="10">
        <f t="shared" si="13"/>
        <v>6.1607142857142865</v>
      </c>
      <c r="O71" s="10">
        <f t="shared" si="12"/>
        <v>0</v>
      </c>
      <c r="P71">
        <v>6.6000000000000003E-2</v>
      </c>
      <c r="Q71" s="2" t="s">
        <v>57</v>
      </c>
      <c r="R71">
        <v>4.8000000000000001E-2</v>
      </c>
    </row>
    <row r="72" spans="1:18" x14ac:dyDescent="0.25">
      <c r="A72" s="1">
        <v>0.72916666666666696</v>
      </c>
      <c r="B72" s="2" t="s">
        <v>34</v>
      </c>
      <c r="C72">
        <v>49.050000000000004</v>
      </c>
      <c r="D72" t="s">
        <v>9</v>
      </c>
      <c r="E72" s="11">
        <f t="shared" si="9"/>
        <v>29.871428571428574</v>
      </c>
      <c r="F72" s="1" t="s">
        <v>3</v>
      </c>
      <c r="G72">
        <v>0</v>
      </c>
      <c r="H72" t="s">
        <v>47</v>
      </c>
      <c r="I72" s="5">
        <f t="shared" si="8"/>
        <v>0.83248928571428593</v>
      </c>
      <c r="J72" s="10">
        <v>19.178571428571431</v>
      </c>
      <c r="K72" t="s">
        <v>17</v>
      </c>
      <c r="L72" s="10">
        <f t="shared" si="10"/>
        <v>12.262500000000001</v>
      </c>
      <c r="M72" s="10">
        <f t="shared" si="11"/>
        <v>7.4678571428571434</v>
      </c>
      <c r="N72" s="10">
        <f t="shared" si="13"/>
        <v>4.7946428571428577</v>
      </c>
      <c r="O72" s="10">
        <f t="shared" si="12"/>
        <v>0</v>
      </c>
      <c r="P72">
        <v>7.0000000000000007E-2</v>
      </c>
      <c r="Q72" s="2" t="s">
        <v>57</v>
      </c>
      <c r="R72">
        <v>4.9600000000000005E-2</v>
      </c>
    </row>
    <row r="73" spans="1:18" x14ac:dyDescent="0.25">
      <c r="A73" s="1">
        <v>0.73958333333333304</v>
      </c>
      <c r="B73" s="2" t="s">
        <v>34</v>
      </c>
      <c r="C73">
        <v>49.56</v>
      </c>
      <c r="D73" t="s">
        <v>9</v>
      </c>
      <c r="E73" s="11">
        <f t="shared" si="9"/>
        <v>33.488571428571433</v>
      </c>
      <c r="F73" s="1" t="s">
        <v>3</v>
      </c>
      <c r="G73">
        <v>0</v>
      </c>
      <c r="H73" t="s">
        <v>47</v>
      </c>
      <c r="I73" s="5">
        <f t="shared" si="8"/>
        <v>0.83248928571428593</v>
      </c>
      <c r="J73" s="10">
        <v>16.071428571428573</v>
      </c>
      <c r="K73" t="s">
        <v>17</v>
      </c>
      <c r="L73" s="10">
        <f t="shared" si="10"/>
        <v>12.39</v>
      </c>
      <c r="M73" s="10">
        <f t="shared" si="11"/>
        <v>8.3721428571428582</v>
      </c>
      <c r="N73" s="10">
        <f t="shared" si="13"/>
        <v>4.0178571428571432</v>
      </c>
      <c r="O73" s="10">
        <f t="shared" si="12"/>
        <v>0</v>
      </c>
      <c r="P73">
        <v>7.3999999999999996E-2</v>
      </c>
      <c r="Q73" s="2" t="s">
        <v>57</v>
      </c>
      <c r="R73">
        <v>5.1200000000000002E-2</v>
      </c>
    </row>
    <row r="74" spans="1:18" x14ac:dyDescent="0.25">
      <c r="A74" s="1">
        <v>0.75</v>
      </c>
      <c r="B74" s="2" t="s">
        <v>34</v>
      </c>
      <c r="C74">
        <v>44.835000000000001</v>
      </c>
      <c r="D74" t="s">
        <v>9</v>
      </c>
      <c r="E74" s="11">
        <f t="shared" si="9"/>
        <v>31.442142857142855</v>
      </c>
      <c r="F74" s="1" t="s">
        <v>3</v>
      </c>
      <c r="G74">
        <v>0</v>
      </c>
      <c r="H74" t="s">
        <v>47</v>
      </c>
      <c r="I74" s="5">
        <f t="shared" si="8"/>
        <v>0.83248928571428593</v>
      </c>
      <c r="J74" s="10">
        <v>13.392857142857144</v>
      </c>
      <c r="K74" t="s">
        <v>17</v>
      </c>
      <c r="L74" s="10">
        <f t="shared" si="10"/>
        <v>11.20875</v>
      </c>
      <c r="M74" s="10">
        <f t="shared" si="11"/>
        <v>7.8605357142857137</v>
      </c>
      <c r="N74" s="10">
        <f t="shared" si="13"/>
        <v>3.348214285714286</v>
      </c>
      <c r="O74" s="10">
        <f t="shared" si="12"/>
        <v>0</v>
      </c>
      <c r="P74">
        <v>7.8E-2</v>
      </c>
      <c r="Q74" s="2" t="s">
        <v>57</v>
      </c>
      <c r="R74">
        <v>5.2800000000000007E-2</v>
      </c>
    </row>
    <row r="75" spans="1:18" x14ac:dyDescent="0.25">
      <c r="A75" s="1">
        <v>0.76041666666666696</v>
      </c>
      <c r="B75" s="2" t="s">
        <v>37</v>
      </c>
      <c r="C75">
        <v>43.230000000000004</v>
      </c>
      <c r="D75" t="s">
        <v>19</v>
      </c>
      <c r="E75" s="11">
        <f t="shared" si="9"/>
        <v>0</v>
      </c>
      <c r="F75" s="1"/>
      <c r="G75">
        <f t="shared" ref="G75:G77" si="14">J75-C75</f>
        <v>-33.158571428571435</v>
      </c>
      <c r="H75" t="s">
        <v>5</v>
      </c>
      <c r="I75" s="5">
        <f t="shared" si="8"/>
        <v>0.74959285714285739</v>
      </c>
      <c r="J75" s="10">
        <v>10.071428571428571</v>
      </c>
      <c r="K75" t="s">
        <v>17</v>
      </c>
      <c r="L75" s="10">
        <f t="shared" si="10"/>
        <v>10.807500000000001</v>
      </c>
      <c r="M75" s="10">
        <f t="shared" si="11"/>
        <v>0</v>
      </c>
      <c r="N75" s="10">
        <f t="shared" si="13"/>
        <v>2.5178571428571428</v>
      </c>
      <c r="O75" s="10">
        <f t="shared" si="12"/>
        <v>8.2896428571428586</v>
      </c>
      <c r="P75">
        <v>8.2000000000000003E-2</v>
      </c>
      <c r="Q75" s="2" t="s">
        <v>57</v>
      </c>
      <c r="R75">
        <v>5.4400000000000004E-2</v>
      </c>
    </row>
    <row r="76" spans="1:18" x14ac:dyDescent="0.25">
      <c r="A76" s="1">
        <v>0.77083333333333304</v>
      </c>
      <c r="B76" s="2" t="s">
        <v>37</v>
      </c>
      <c r="C76">
        <v>38.910000000000004</v>
      </c>
      <c r="D76" t="s">
        <v>19</v>
      </c>
      <c r="E76" s="11">
        <f t="shared" si="9"/>
        <v>0</v>
      </c>
      <c r="F76" s="1"/>
      <c r="G76">
        <f t="shared" si="14"/>
        <v>-30.981428571428573</v>
      </c>
      <c r="H76" t="s">
        <v>5</v>
      </c>
      <c r="I76" s="5">
        <f t="shared" si="8"/>
        <v>0.67213928571428594</v>
      </c>
      <c r="J76" s="10">
        <v>7.9285714285714288</v>
      </c>
      <c r="K76" t="s">
        <v>17</v>
      </c>
      <c r="L76" s="10">
        <f t="shared" si="10"/>
        <v>9.7275000000000009</v>
      </c>
      <c r="M76" s="10">
        <f t="shared" si="11"/>
        <v>0</v>
      </c>
      <c r="N76" s="10">
        <f t="shared" si="13"/>
        <v>1.9821428571428572</v>
      </c>
      <c r="O76" s="10">
        <f t="shared" si="12"/>
        <v>7.7453571428571433</v>
      </c>
      <c r="P76">
        <v>8.5999999999999993E-2</v>
      </c>
      <c r="Q76" s="2" t="s">
        <v>57</v>
      </c>
      <c r="R76">
        <v>5.6000000000000008E-2</v>
      </c>
    </row>
    <row r="77" spans="1:18" x14ac:dyDescent="0.25">
      <c r="A77" s="1">
        <v>0.78125</v>
      </c>
      <c r="B77" s="2" t="s">
        <v>37</v>
      </c>
      <c r="C77">
        <v>40.71</v>
      </c>
      <c r="D77" t="s">
        <v>19</v>
      </c>
      <c r="E77" s="11">
        <f t="shared" si="9"/>
        <v>0</v>
      </c>
      <c r="F77" s="1"/>
      <c r="G77">
        <f t="shared" si="14"/>
        <v>-35.46</v>
      </c>
      <c r="H77" t="s">
        <v>5</v>
      </c>
      <c r="I77" s="5">
        <f t="shared" si="8"/>
        <v>0.58348928571428593</v>
      </c>
      <c r="J77" s="10">
        <v>5.25</v>
      </c>
      <c r="K77" t="s">
        <v>17</v>
      </c>
      <c r="L77" s="10">
        <f t="shared" si="10"/>
        <v>10.1775</v>
      </c>
      <c r="M77" s="10">
        <f t="shared" si="11"/>
        <v>0</v>
      </c>
      <c r="N77" s="10">
        <f t="shared" si="13"/>
        <v>1.3125</v>
      </c>
      <c r="O77" s="10">
        <f t="shared" si="12"/>
        <v>8.8650000000000002</v>
      </c>
      <c r="P77">
        <v>0.09</v>
      </c>
      <c r="Q77" s="2" t="s">
        <v>57</v>
      </c>
      <c r="R77">
        <v>5.7599999999999998E-2</v>
      </c>
    </row>
    <row r="78" spans="1:18" x14ac:dyDescent="0.25">
      <c r="A78" s="1">
        <v>0.79166666666666696</v>
      </c>
      <c r="B78" s="2" t="s">
        <v>37</v>
      </c>
      <c r="C78">
        <v>32.055</v>
      </c>
      <c r="D78" t="s">
        <v>19</v>
      </c>
      <c r="E78" s="11">
        <f t="shared" si="9"/>
        <v>0</v>
      </c>
      <c r="F78" s="1"/>
      <c r="G78">
        <f>J78-C78</f>
        <v>-29.697857142857142</v>
      </c>
      <c r="H78" t="s">
        <v>5</v>
      </c>
      <c r="I78" s="5">
        <f t="shared" si="8"/>
        <v>0.5092446428571431</v>
      </c>
      <c r="J78" s="10">
        <v>2.3571428571428572</v>
      </c>
      <c r="K78" t="s">
        <v>17</v>
      </c>
      <c r="L78" s="10">
        <f t="shared" si="10"/>
        <v>8.0137499999999999</v>
      </c>
      <c r="M78" s="10">
        <f t="shared" si="11"/>
        <v>0</v>
      </c>
      <c r="N78" s="10">
        <f t="shared" si="13"/>
        <v>0.5892857142857143</v>
      </c>
      <c r="O78" s="10">
        <f t="shared" si="12"/>
        <v>7.4244642857142855</v>
      </c>
      <c r="P78">
        <v>9.4E-2</v>
      </c>
      <c r="Q78" s="2" t="s">
        <v>57</v>
      </c>
      <c r="R78">
        <v>5.9200000000000003E-2</v>
      </c>
    </row>
    <row r="79" spans="1:18" x14ac:dyDescent="0.25">
      <c r="A79" s="1">
        <v>0.80208333333333304</v>
      </c>
      <c r="B79" s="2" t="s">
        <v>37</v>
      </c>
      <c r="C79">
        <v>33.674999999999997</v>
      </c>
      <c r="D79" t="s">
        <v>19</v>
      </c>
      <c r="E79" s="11">
        <f t="shared" si="9"/>
        <v>0</v>
      </c>
      <c r="F79" s="1"/>
      <c r="G79">
        <f t="shared" ref="G79:G82" si="15">J79-C79</f>
        <v>-31.960714285714282</v>
      </c>
      <c r="H79" t="s">
        <v>5</v>
      </c>
      <c r="I79" s="5">
        <f t="shared" si="8"/>
        <v>0.42934285714285741</v>
      </c>
      <c r="J79" s="10">
        <v>1.7142857142857144</v>
      </c>
      <c r="K79" t="s">
        <v>17</v>
      </c>
      <c r="L79" s="10">
        <f t="shared" si="10"/>
        <v>8.4187499999999993</v>
      </c>
      <c r="M79" s="10">
        <f t="shared" si="11"/>
        <v>0</v>
      </c>
      <c r="N79" s="10">
        <f t="shared" si="13"/>
        <v>0.4285714285714286</v>
      </c>
      <c r="O79" s="10">
        <f t="shared" si="12"/>
        <v>7.9901785714285705</v>
      </c>
      <c r="P79">
        <v>9.6000000000000002E-2</v>
      </c>
      <c r="Q79" s="2" t="s">
        <v>57</v>
      </c>
      <c r="R79">
        <v>6.08E-2</v>
      </c>
    </row>
    <row r="80" spans="1:18" x14ac:dyDescent="0.25">
      <c r="A80" s="1">
        <v>0.8125</v>
      </c>
      <c r="B80" s="2" t="s">
        <v>37</v>
      </c>
      <c r="C80">
        <v>32.61</v>
      </c>
      <c r="D80" t="s">
        <v>19</v>
      </c>
      <c r="E80" s="11">
        <f t="shared" si="9"/>
        <v>0</v>
      </c>
      <c r="F80" s="1"/>
      <c r="G80">
        <f t="shared" si="15"/>
        <v>-31.538571428571426</v>
      </c>
      <c r="H80" t="s">
        <v>5</v>
      </c>
      <c r="I80" s="5">
        <f t="shared" si="8"/>
        <v>0.35049642857142882</v>
      </c>
      <c r="J80" s="10">
        <v>1.0714285714285714</v>
      </c>
      <c r="K80" t="s">
        <v>17</v>
      </c>
      <c r="L80" s="10">
        <f t="shared" si="10"/>
        <v>8.1524999999999999</v>
      </c>
      <c r="M80" s="10">
        <f t="shared" si="11"/>
        <v>0</v>
      </c>
      <c r="N80" s="10">
        <f t="shared" si="13"/>
        <v>0.26785714285714285</v>
      </c>
      <c r="O80" s="10">
        <f t="shared" si="12"/>
        <v>7.8846428571428566</v>
      </c>
      <c r="P80">
        <v>9.8000000000000004E-2</v>
      </c>
      <c r="Q80" s="2" t="s">
        <v>57</v>
      </c>
      <c r="R80">
        <v>6.2400000000000004E-2</v>
      </c>
    </row>
    <row r="81" spans="1:18" x14ac:dyDescent="0.25">
      <c r="A81" s="1">
        <v>0.82291666666666696</v>
      </c>
      <c r="B81" s="2" t="s">
        <v>37</v>
      </c>
      <c r="C81">
        <v>27.255000000000003</v>
      </c>
      <c r="D81" t="s">
        <v>19</v>
      </c>
      <c r="E81" s="11">
        <f t="shared" si="9"/>
        <v>0</v>
      </c>
      <c r="F81" s="1"/>
      <c r="G81">
        <f t="shared" si="15"/>
        <v>-26.61214285714286</v>
      </c>
      <c r="H81" t="s">
        <v>5</v>
      </c>
      <c r="I81" s="5">
        <f t="shared" si="8"/>
        <v>0.28396607142857166</v>
      </c>
      <c r="J81" s="10">
        <v>0.6428571428571429</v>
      </c>
      <c r="K81" t="s">
        <v>17</v>
      </c>
      <c r="L81" s="10">
        <f t="shared" si="10"/>
        <v>6.8137500000000006</v>
      </c>
      <c r="M81" s="10">
        <f t="shared" si="11"/>
        <v>0</v>
      </c>
      <c r="N81" s="10">
        <f t="shared" si="13"/>
        <v>0.16071428571428573</v>
      </c>
      <c r="O81" s="10">
        <f t="shared" si="12"/>
        <v>6.6530357142857151</v>
      </c>
      <c r="P81">
        <v>0.1</v>
      </c>
      <c r="Q81" s="2" t="s">
        <v>57</v>
      </c>
      <c r="R81">
        <v>5.6000000000000008E-2</v>
      </c>
    </row>
    <row r="82" spans="1:18" x14ac:dyDescent="0.25">
      <c r="A82" s="1">
        <v>0.83333333333333304</v>
      </c>
      <c r="B82" s="2" t="s">
        <v>32</v>
      </c>
      <c r="C82">
        <v>27.39</v>
      </c>
      <c r="D82" t="s">
        <v>7</v>
      </c>
      <c r="E82" s="11">
        <f t="shared" si="9"/>
        <v>0</v>
      </c>
      <c r="F82" s="1"/>
      <c r="G82">
        <f t="shared" si="15"/>
        <v>-27.39</v>
      </c>
      <c r="H82" t="s">
        <v>5</v>
      </c>
      <c r="I82" s="5">
        <f t="shared" si="8"/>
        <v>0.21549107142857166</v>
      </c>
      <c r="J82" s="10">
        <v>0</v>
      </c>
      <c r="K82" t="s">
        <v>46</v>
      </c>
      <c r="L82" s="10">
        <f t="shared" si="10"/>
        <v>6.8475000000000001</v>
      </c>
      <c r="M82" s="10">
        <f t="shared" si="11"/>
        <v>0</v>
      </c>
      <c r="N82" s="10">
        <f t="shared" si="13"/>
        <v>0</v>
      </c>
      <c r="O82" s="10">
        <f t="shared" si="12"/>
        <v>6.8475000000000001</v>
      </c>
      <c r="P82">
        <v>9.1999999999999998E-2</v>
      </c>
      <c r="Q82" s="2" t="s">
        <v>57</v>
      </c>
      <c r="R82">
        <v>5.2000000000000005E-2</v>
      </c>
    </row>
    <row r="83" spans="1:18" x14ac:dyDescent="0.25">
      <c r="A83" s="1">
        <v>0.84375</v>
      </c>
      <c r="B83" s="2" t="s">
        <v>32</v>
      </c>
      <c r="C83">
        <v>26.130000000000003</v>
      </c>
      <c r="D83" t="s">
        <v>7</v>
      </c>
      <c r="E83" s="11">
        <f t="shared" si="9"/>
        <v>14.900000000000002</v>
      </c>
      <c r="F83" s="1"/>
      <c r="G83">
        <v>-11.23</v>
      </c>
      <c r="H83" t="s">
        <v>5</v>
      </c>
      <c r="I83" s="5">
        <f t="shared" si="8"/>
        <v>0.18741607142857164</v>
      </c>
      <c r="J83" s="10">
        <v>0</v>
      </c>
      <c r="K83" t="s">
        <v>46</v>
      </c>
      <c r="L83" s="10">
        <f t="shared" si="10"/>
        <v>6.5325000000000006</v>
      </c>
      <c r="M83" s="10">
        <f t="shared" si="11"/>
        <v>3.7250000000000005</v>
      </c>
      <c r="N83" s="10">
        <f t="shared" si="13"/>
        <v>0</v>
      </c>
      <c r="O83" s="10">
        <f t="shared" si="12"/>
        <v>2.8075000000000001</v>
      </c>
      <c r="P83">
        <v>8.5999999999999993E-2</v>
      </c>
      <c r="Q83" s="2" t="s">
        <v>57</v>
      </c>
      <c r="R83">
        <v>4.8000000000000001E-2</v>
      </c>
    </row>
    <row r="84" spans="1:18" x14ac:dyDescent="0.25">
      <c r="A84" s="1">
        <v>0.85416666666666696</v>
      </c>
      <c r="B84" s="2" t="s">
        <v>31</v>
      </c>
      <c r="C84">
        <v>25.650000000000002</v>
      </c>
      <c r="D84" t="s">
        <v>8</v>
      </c>
      <c r="E84" s="11">
        <f t="shared" si="9"/>
        <v>25.650000000000002</v>
      </c>
      <c r="F84" s="1" t="s">
        <v>3</v>
      </c>
      <c r="G84">
        <v>0</v>
      </c>
      <c r="H84" t="s">
        <v>47</v>
      </c>
      <c r="I84" s="5">
        <f t="shared" si="8"/>
        <v>0.18741607142857164</v>
      </c>
      <c r="J84" s="10">
        <v>0</v>
      </c>
      <c r="K84" t="s">
        <v>46</v>
      </c>
      <c r="L84" s="10">
        <f t="shared" si="10"/>
        <v>6.4125000000000005</v>
      </c>
      <c r="M84" s="10">
        <f t="shared" si="11"/>
        <v>6.4125000000000005</v>
      </c>
      <c r="N84" s="10">
        <f t="shared" si="13"/>
        <v>0</v>
      </c>
      <c r="O84" s="10">
        <f t="shared" si="12"/>
        <v>0</v>
      </c>
      <c r="P84">
        <v>0.08</v>
      </c>
      <c r="Q84" s="2" t="s">
        <v>57</v>
      </c>
      <c r="R84">
        <v>4.4000000000000004E-2</v>
      </c>
    </row>
    <row r="85" spans="1:18" x14ac:dyDescent="0.25">
      <c r="A85" s="1">
        <v>0.86458333333333304</v>
      </c>
      <c r="B85" s="2" t="s">
        <v>31</v>
      </c>
      <c r="C85">
        <v>24.630000000000003</v>
      </c>
      <c r="D85" t="s">
        <v>8</v>
      </c>
      <c r="E85" s="11">
        <f t="shared" si="9"/>
        <v>24.630000000000003</v>
      </c>
      <c r="F85" s="1" t="s">
        <v>3</v>
      </c>
      <c r="G85">
        <v>0</v>
      </c>
      <c r="H85" t="s">
        <v>47</v>
      </c>
      <c r="I85" s="5">
        <f t="shared" si="8"/>
        <v>0.18741607142857164</v>
      </c>
      <c r="J85" s="10">
        <v>0</v>
      </c>
      <c r="K85" t="s">
        <v>46</v>
      </c>
      <c r="L85" s="10">
        <f t="shared" si="10"/>
        <v>6.1575000000000006</v>
      </c>
      <c r="M85" s="10">
        <f t="shared" si="11"/>
        <v>6.1575000000000006</v>
      </c>
      <c r="N85" s="10">
        <f t="shared" si="13"/>
        <v>0</v>
      </c>
      <c r="O85" s="10">
        <f t="shared" si="12"/>
        <v>0</v>
      </c>
      <c r="P85">
        <v>7.3999999999999996E-2</v>
      </c>
      <c r="Q85" s="2" t="s">
        <v>57</v>
      </c>
      <c r="R85">
        <v>4.0000000000000008E-2</v>
      </c>
    </row>
    <row r="86" spans="1:18" x14ac:dyDescent="0.25">
      <c r="A86" s="1">
        <v>0.875</v>
      </c>
      <c r="B86" s="2" t="s">
        <v>31</v>
      </c>
      <c r="C86">
        <v>21.72</v>
      </c>
      <c r="D86" t="s">
        <v>8</v>
      </c>
      <c r="E86" s="11">
        <f t="shared" si="9"/>
        <v>21.72</v>
      </c>
      <c r="F86" s="1" t="s">
        <v>3</v>
      </c>
      <c r="G86">
        <v>0</v>
      </c>
      <c r="H86" t="s">
        <v>47</v>
      </c>
      <c r="I86" s="5">
        <f t="shared" si="8"/>
        <v>0.18741607142857164</v>
      </c>
      <c r="J86" s="10">
        <v>0</v>
      </c>
      <c r="K86" t="s">
        <v>46</v>
      </c>
      <c r="L86" s="10">
        <f t="shared" si="10"/>
        <v>5.43</v>
      </c>
      <c r="M86" s="10">
        <f t="shared" si="11"/>
        <v>5.43</v>
      </c>
      <c r="N86" s="10">
        <f t="shared" si="13"/>
        <v>0</v>
      </c>
      <c r="O86" s="10">
        <f t="shared" si="12"/>
        <v>0</v>
      </c>
      <c r="P86">
        <v>6.8000000000000005E-2</v>
      </c>
      <c r="Q86" s="2" t="s">
        <v>57</v>
      </c>
      <c r="R86">
        <v>3.8400000000000004E-2</v>
      </c>
    </row>
    <row r="87" spans="1:18" x14ac:dyDescent="0.25">
      <c r="A87" s="1">
        <v>0.88541666666666696</v>
      </c>
      <c r="B87" s="2" t="s">
        <v>31</v>
      </c>
      <c r="C87">
        <v>18.240000000000002</v>
      </c>
      <c r="D87" t="s">
        <v>8</v>
      </c>
      <c r="E87" s="11">
        <f t="shared" si="9"/>
        <v>18.240000000000002</v>
      </c>
      <c r="F87" s="1" t="s">
        <v>3</v>
      </c>
      <c r="G87">
        <v>0</v>
      </c>
      <c r="H87" t="s">
        <v>47</v>
      </c>
      <c r="I87" s="5">
        <f t="shared" si="8"/>
        <v>0.18741607142857164</v>
      </c>
      <c r="J87" s="10">
        <v>0</v>
      </c>
      <c r="K87" t="s">
        <v>46</v>
      </c>
      <c r="L87" s="10">
        <f t="shared" si="10"/>
        <v>4.5600000000000005</v>
      </c>
      <c r="M87" s="10">
        <f t="shared" si="11"/>
        <v>4.5600000000000005</v>
      </c>
      <c r="N87" s="10">
        <f t="shared" si="13"/>
        <v>0</v>
      </c>
      <c r="O87" s="10">
        <f t="shared" si="12"/>
        <v>0</v>
      </c>
      <c r="P87">
        <v>6.4000000000000001E-2</v>
      </c>
      <c r="Q87" s="2" t="s">
        <v>57</v>
      </c>
      <c r="R87">
        <v>3.6799999999999999E-2</v>
      </c>
    </row>
    <row r="88" spans="1:18" x14ac:dyDescent="0.25">
      <c r="A88" s="1">
        <v>0.89583333333333304</v>
      </c>
      <c r="B88" s="2" t="s">
        <v>31</v>
      </c>
      <c r="C88">
        <v>17.46</v>
      </c>
      <c r="D88" t="s">
        <v>8</v>
      </c>
      <c r="E88" s="11">
        <f t="shared" si="9"/>
        <v>17.46</v>
      </c>
      <c r="F88" s="1" t="s">
        <v>3</v>
      </c>
      <c r="G88">
        <v>0</v>
      </c>
      <c r="H88" t="s">
        <v>47</v>
      </c>
      <c r="I88" s="5">
        <f t="shared" si="8"/>
        <v>0.18741607142857164</v>
      </c>
      <c r="J88" s="10">
        <v>0</v>
      </c>
      <c r="K88" t="s">
        <v>46</v>
      </c>
      <c r="L88" s="10">
        <f t="shared" si="10"/>
        <v>4.3650000000000002</v>
      </c>
      <c r="M88" s="10">
        <f t="shared" si="11"/>
        <v>4.3650000000000002</v>
      </c>
      <c r="N88" s="10">
        <f t="shared" si="13"/>
        <v>0</v>
      </c>
      <c r="O88" s="10">
        <f t="shared" si="12"/>
        <v>0</v>
      </c>
      <c r="P88">
        <v>0.06</v>
      </c>
      <c r="Q88" s="2" t="s">
        <v>56</v>
      </c>
      <c r="R88">
        <v>3.5200000000000002E-2</v>
      </c>
    </row>
    <row r="89" spans="1:18" x14ac:dyDescent="0.25">
      <c r="A89" s="1">
        <v>0.90625</v>
      </c>
      <c r="B89" s="2" t="s">
        <v>31</v>
      </c>
      <c r="C89">
        <v>14.475000000000001</v>
      </c>
      <c r="D89" t="s">
        <v>8</v>
      </c>
      <c r="E89" s="11">
        <f t="shared" si="9"/>
        <v>14.475000000000001</v>
      </c>
      <c r="F89" s="1" t="s">
        <v>3</v>
      </c>
      <c r="G89">
        <v>0</v>
      </c>
      <c r="H89" t="s">
        <v>47</v>
      </c>
      <c r="I89" s="5">
        <f t="shared" si="8"/>
        <v>0.18741607142857164</v>
      </c>
      <c r="J89" s="10">
        <v>0</v>
      </c>
      <c r="K89" t="s">
        <v>46</v>
      </c>
      <c r="L89" s="10">
        <f t="shared" si="10"/>
        <v>3.6187500000000004</v>
      </c>
      <c r="M89" s="10">
        <f t="shared" si="11"/>
        <v>3.6187500000000004</v>
      </c>
      <c r="N89" s="10">
        <f t="shared" si="13"/>
        <v>0</v>
      </c>
      <c r="O89" s="10">
        <f t="shared" si="12"/>
        <v>0</v>
      </c>
      <c r="P89">
        <v>5.6000000000000001E-2</v>
      </c>
      <c r="Q89" s="2" t="s">
        <v>56</v>
      </c>
      <c r="R89">
        <v>3.44E-2</v>
      </c>
    </row>
    <row r="90" spans="1:18" x14ac:dyDescent="0.25">
      <c r="A90" s="1">
        <v>0.91666666666666696</v>
      </c>
      <c r="B90" s="2" t="s">
        <v>31</v>
      </c>
      <c r="C90">
        <v>10.83</v>
      </c>
      <c r="D90" t="s">
        <v>8</v>
      </c>
      <c r="E90" s="11">
        <f t="shared" si="9"/>
        <v>10.83</v>
      </c>
      <c r="F90" s="1" t="s">
        <v>3</v>
      </c>
      <c r="G90">
        <v>0</v>
      </c>
      <c r="H90" t="s">
        <v>47</v>
      </c>
      <c r="I90" s="5">
        <f t="shared" si="8"/>
        <v>0.18741607142857164</v>
      </c>
      <c r="J90" s="10">
        <v>0</v>
      </c>
      <c r="K90" t="s">
        <v>46</v>
      </c>
      <c r="L90" s="10">
        <f t="shared" si="10"/>
        <v>2.7075</v>
      </c>
      <c r="M90" s="10">
        <f t="shared" si="11"/>
        <v>2.7075</v>
      </c>
      <c r="N90" s="10">
        <f t="shared" si="13"/>
        <v>0</v>
      </c>
      <c r="O90" s="10">
        <f t="shared" si="12"/>
        <v>0</v>
      </c>
      <c r="P90">
        <v>5.1999999999999998E-2</v>
      </c>
      <c r="Q90" s="2" t="s">
        <v>56</v>
      </c>
      <c r="R90">
        <v>3.44E-2</v>
      </c>
    </row>
    <row r="91" spans="1:18" x14ac:dyDescent="0.25">
      <c r="A91" s="1">
        <v>0.92708333333333304</v>
      </c>
      <c r="B91" s="2" t="s">
        <v>31</v>
      </c>
      <c r="C91">
        <v>10.845000000000001</v>
      </c>
      <c r="D91" t="s">
        <v>8</v>
      </c>
      <c r="E91" s="11">
        <f t="shared" si="9"/>
        <v>10.845000000000001</v>
      </c>
      <c r="F91" s="1" t="s">
        <v>3</v>
      </c>
      <c r="G91">
        <v>0</v>
      </c>
      <c r="H91" t="s">
        <v>47</v>
      </c>
      <c r="I91" s="5">
        <f t="shared" si="8"/>
        <v>0.18741607142857164</v>
      </c>
      <c r="J91" s="10">
        <v>0</v>
      </c>
      <c r="K91" t="s">
        <v>46</v>
      </c>
      <c r="L91" s="10">
        <f t="shared" si="10"/>
        <v>2.7112500000000002</v>
      </c>
      <c r="M91" s="10">
        <f t="shared" si="11"/>
        <v>2.7112500000000002</v>
      </c>
      <c r="N91" s="10">
        <f t="shared" si="13"/>
        <v>0</v>
      </c>
      <c r="O91" s="10">
        <f t="shared" si="12"/>
        <v>0</v>
      </c>
      <c r="P91">
        <v>0.05</v>
      </c>
      <c r="Q91" s="2" t="s">
        <v>56</v>
      </c>
      <c r="R91">
        <v>3.44E-2</v>
      </c>
    </row>
    <row r="92" spans="1:18" x14ac:dyDescent="0.25">
      <c r="A92" s="1">
        <v>0.9375</v>
      </c>
      <c r="B92" s="2" t="s">
        <v>31</v>
      </c>
      <c r="C92">
        <v>10.5</v>
      </c>
      <c r="D92" t="s">
        <v>8</v>
      </c>
      <c r="E92" s="11">
        <f t="shared" si="9"/>
        <v>10.5</v>
      </c>
      <c r="F92" s="1" t="s">
        <v>3</v>
      </c>
      <c r="G92">
        <v>0</v>
      </c>
      <c r="H92" t="s">
        <v>47</v>
      </c>
      <c r="I92" s="5">
        <f t="shared" si="8"/>
        <v>0.18741607142857164</v>
      </c>
      <c r="J92" s="10">
        <v>0</v>
      </c>
      <c r="K92" t="s">
        <v>46</v>
      </c>
      <c r="L92" s="10">
        <f t="shared" si="10"/>
        <v>2.625</v>
      </c>
      <c r="M92" s="10">
        <f t="shared" si="11"/>
        <v>2.625</v>
      </c>
      <c r="N92" s="10">
        <f t="shared" si="13"/>
        <v>0</v>
      </c>
      <c r="O92" s="10">
        <f t="shared" si="12"/>
        <v>0</v>
      </c>
      <c r="P92">
        <v>4.8000000000000001E-2</v>
      </c>
      <c r="Q92" s="2" t="s">
        <v>54</v>
      </c>
      <c r="R92">
        <v>3.44E-2</v>
      </c>
    </row>
    <row r="93" spans="1:18" x14ac:dyDescent="0.25">
      <c r="A93" s="1">
        <v>0.94791666666666696</v>
      </c>
      <c r="B93" s="2" t="s">
        <v>31</v>
      </c>
      <c r="C93">
        <v>10.23</v>
      </c>
      <c r="D93" t="s">
        <v>8</v>
      </c>
      <c r="E93" s="11">
        <f t="shared" si="9"/>
        <v>10.23</v>
      </c>
      <c r="F93" s="1" t="s">
        <v>3</v>
      </c>
      <c r="G93">
        <v>0</v>
      </c>
      <c r="H93" t="s">
        <v>47</v>
      </c>
      <c r="I93" s="5">
        <f t="shared" si="8"/>
        <v>0.18741607142857164</v>
      </c>
      <c r="J93" s="10">
        <v>0</v>
      </c>
      <c r="K93" t="s">
        <v>46</v>
      </c>
      <c r="L93" s="10">
        <f t="shared" si="10"/>
        <v>2.5575000000000001</v>
      </c>
      <c r="M93" s="10">
        <f t="shared" si="11"/>
        <v>2.5575000000000001</v>
      </c>
      <c r="N93" s="10">
        <f t="shared" si="13"/>
        <v>0</v>
      </c>
      <c r="O93" s="10">
        <f t="shared" si="12"/>
        <v>0</v>
      </c>
      <c r="P93">
        <v>4.7E-2</v>
      </c>
      <c r="Q93" s="2" t="s">
        <v>54</v>
      </c>
      <c r="R93">
        <v>3.5200000000000002E-2</v>
      </c>
    </row>
    <row r="94" spans="1:18" x14ac:dyDescent="0.25">
      <c r="A94" s="1">
        <v>0.95833333333333304</v>
      </c>
      <c r="B94" s="2" t="s">
        <v>31</v>
      </c>
      <c r="C94">
        <v>9.7349999999999994</v>
      </c>
      <c r="D94" t="s">
        <v>8</v>
      </c>
      <c r="E94" s="11">
        <f t="shared" si="9"/>
        <v>9.7349999999999994</v>
      </c>
      <c r="F94" s="1" t="s">
        <v>3</v>
      </c>
      <c r="G94">
        <v>0</v>
      </c>
      <c r="H94" t="s">
        <v>47</v>
      </c>
      <c r="I94" s="5">
        <f t="shared" si="8"/>
        <v>0.18741607142857164</v>
      </c>
      <c r="J94" s="10">
        <v>0</v>
      </c>
      <c r="K94" t="s">
        <v>46</v>
      </c>
      <c r="L94" s="10">
        <f t="shared" si="10"/>
        <v>2.4337499999999999</v>
      </c>
      <c r="M94" s="10">
        <f t="shared" si="11"/>
        <v>2.4337499999999999</v>
      </c>
      <c r="N94" s="10">
        <f t="shared" si="13"/>
        <v>0</v>
      </c>
      <c r="O94" s="10">
        <f t="shared" si="12"/>
        <v>0</v>
      </c>
      <c r="P94">
        <v>4.7E-2</v>
      </c>
      <c r="Q94" s="2" t="s">
        <v>54</v>
      </c>
      <c r="R94">
        <v>3.5200000000000002E-2</v>
      </c>
    </row>
    <row r="95" spans="1:18" x14ac:dyDescent="0.25">
      <c r="A95" s="1">
        <v>0.96875</v>
      </c>
      <c r="B95" s="2" t="s">
        <v>31</v>
      </c>
      <c r="C95">
        <v>9.69</v>
      </c>
      <c r="D95" t="s">
        <v>8</v>
      </c>
      <c r="E95" s="11">
        <f t="shared" si="9"/>
        <v>9.69</v>
      </c>
      <c r="F95" s="1" t="s">
        <v>3</v>
      </c>
      <c r="G95">
        <v>0</v>
      </c>
      <c r="H95" t="s">
        <v>47</v>
      </c>
      <c r="I95" s="5">
        <f t="shared" si="8"/>
        <v>0.18741607142857164</v>
      </c>
      <c r="J95" s="10">
        <v>0</v>
      </c>
      <c r="K95" t="s">
        <v>46</v>
      </c>
      <c r="L95" s="10">
        <f t="shared" si="10"/>
        <v>2.4224999999999999</v>
      </c>
      <c r="M95" s="10">
        <f t="shared" si="11"/>
        <v>2.4224999999999999</v>
      </c>
      <c r="N95" s="10">
        <f t="shared" si="13"/>
        <v>0</v>
      </c>
      <c r="O95" s="10">
        <f t="shared" si="12"/>
        <v>0</v>
      </c>
      <c r="P95">
        <v>4.7E-2</v>
      </c>
      <c r="Q95" s="2" t="s">
        <v>54</v>
      </c>
      <c r="R95">
        <v>3.5999999999999997E-2</v>
      </c>
    </row>
    <row r="96" spans="1:18" x14ac:dyDescent="0.25">
      <c r="A96" s="1">
        <v>0.97916666666666696</v>
      </c>
      <c r="B96" s="2" t="s">
        <v>31</v>
      </c>
      <c r="C96">
        <v>8.0849999999999991</v>
      </c>
      <c r="D96" t="s">
        <v>8</v>
      </c>
      <c r="E96" s="11">
        <f t="shared" si="9"/>
        <v>8.0849999999999991</v>
      </c>
      <c r="F96" s="1" t="s">
        <v>3</v>
      </c>
      <c r="G96">
        <v>0</v>
      </c>
      <c r="H96" t="s">
        <v>47</v>
      </c>
      <c r="I96" s="5">
        <f t="shared" si="8"/>
        <v>0.18741607142857164</v>
      </c>
      <c r="J96" s="10">
        <v>0</v>
      </c>
      <c r="K96" t="s">
        <v>46</v>
      </c>
      <c r="L96" s="10">
        <f t="shared" si="10"/>
        <v>2.0212499999999998</v>
      </c>
      <c r="M96" s="10">
        <f t="shared" si="11"/>
        <v>2.0212499999999998</v>
      </c>
      <c r="N96" s="10">
        <f t="shared" si="13"/>
        <v>0</v>
      </c>
      <c r="O96" s="10">
        <f t="shared" si="12"/>
        <v>0</v>
      </c>
      <c r="P96">
        <v>4.8000000000000001E-2</v>
      </c>
      <c r="Q96" s="2" t="s">
        <v>54</v>
      </c>
      <c r="R96">
        <v>3.5999999999999997E-2</v>
      </c>
    </row>
    <row r="97" spans="1:18" x14ac:dyDescent="0.25">
      <c r="A97" s="1">
        <v>0.98958333333333304</v>
      </c>
      <c r="B97" s="2" t="s">
        <v>31</v>
      </c>
      <c r="C97">
        <v>8.5500000000000007</v>
      </c>
      <c r="D97" t="s">
        <v>8</v>
      </c>
      <c r="E97" s="11">
        <f t="shared" si="9"/>
        <v>8.5500000000000007</v>
      </c>
      <c r="F97" s="1" t="s">
        <v>3</v>
      </c>
      <c r="G97">
        <v>0</v>
      </c>
      <c r="H97" t="s">
        <v>47</v>
      </c>
      <c r="I97" s="5">
        <f t="shared" si="8"/>
        <v>0.18741607142857164</v>
      </c>
      <c r="J97" s="10">
        <v>0</v>
      </c>
      <c r="K97" t="s">
        <v>46</v>
      </c>
      <c r="L97" s="10">
        <f t="shared" si="10"/>
        <v>2.1375000000000002</v>
      </c>
      <c r="M97" s="10">
        <f t="shared" si="11"/>
        <v>2.1375000000000002</v>
      </c>
      <c r="N97" s="10">
        <f t="shared" si="13"/>
        <v>0</v>
      </c>
      <c r="O97" s="10">
        <f t="shared" si="12"/>
        <v>0</v>
      </c>
      <c r="P97">
        <v>4.8000000000000001E-2</v>
      </c>
      <c r="Q97" s="2" t="s">
        <v>54</v>
      </c>
      <c r="R97">
        <v>3.5999999999999997E-2</v>
      </c>
    </row>
    <row r="98" spans="1:18" x14ac:dyDescent="0.25">
      <c r="F98" s="1"/>
    </row>
  </sheetData>
  <dataConsolidate/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8B1-5691-44FB-A15E-00BE6FA44B15}">
  <dimension ref="A1:F78"/>
  <sheetViews>
    <sheetView workbookViewId="0">
      <selection activeCell="C11" sqref="B1:C1048576"/>
    </sheetView>
  </sheetViews>
  <sheetFormatPr defaultRowHeight="15" x14ac:dyDescent="0.25"/>
  <cols>
    <col min="1" max="1" width="9.140625" style="2"/>
    <col min="4" max="4" width="10.7109375" bestFit="1" customWidth="1"/>
  </cols>
  <sheetData>
    <row r="1" spans="1:6" x14ac:dyDescent="0.25">
      <c r="A1" s="2" t="s">
        <v>27</v>
      </c>
      <c r="B1" s="6" t="s">
        <v>20</v>
      </c>
      <c r="C1" t="s">
        <v>21</v>
      </c>
      <c r="D1" t="s">
        <v>40</v>
      </c>
      <c r="E1" t="s">
        <v>22</v>
      </c>
      <c r="F1" t="s">
        <v>38</v>
      </c>
    </row>
    <row r="2" spans="1:6" x14ac:dyDescent="0.25">
      <c r="A2" s="7" t="s">
        <v>31</v>
      </c>
      <c r="B2" s="8" t="s">
        <v>23</v>
      </c>
      <c r="C2" s="8" t="s">
        <v>64</v>
      </c>
      <c r="D2" s="8" t="s">
        <v>42</v>
      </c>
      <c r="E2" s="8" t="s">
        <v>28</v>
      </c>
      <c r="F2" s="8" t="s">
        <v>39</v>
      </c>
    </row>
    <row r="3" spans="1:6" x14ac:dyDescent="0.25">
      <c r="A3" s="2" t="s">
        <v>31</v>
      </c>
      <c r="B3" t="s">
        <v>64</v>
      </c>
      <c r="C3" t="s">
        <v>26</v>
      </c>
      <c r="D3" t="s">
        <v>42</v>
      </c>
      <c r="E3" t="s">
        <v>28</v>
      </c>
      <c r="F3" t="s">
        <v>39</v>
      </c>
    </row>
    <row r="4" spans="1:6" x14ac:dyDescent="0.25">
      <c r="A4" s="2" t="s">
        <v>31</v>
      </c>
      <c r="B4" t="s">
        <v>64</v>
      </c>
      <c r="C4" t="s">
        <v>24</v>
      </c>
      <c r="D4" t="s">
        <v>42</v>
      </c>
      <c r="E4" t="s">
        <v>29</v>
      </c>
      <c r="F4" t="s">
        <v>39</v>
      </c>
    </row>
    <row r="5" spans="1:6" x14ac:dyDescent="0.25">
      <c r="A5" s="2" t="s">
        <v>31</v>
      </c>
      <c r="B5" t="s">
        <v>24</v>
      </c>
      <c r="C5" t="s">
        <v>25</v>
      </c>
      <c r="D5" t="s">
        <v>42</v>
      </c>
      <c r="E5" t="s">
        <v>29</v>
      </c>
      <c r="F5" t="s">
        <v>39</v>
      </c>
    </row>
    <row r="6" spans="1:6" x14ac:dyDescent="0.25">
      <c r="A6" s="2" t="s">
        <v>31</v>
      </c>
      <c r="B6" t="s">
        <v>24</v>
      </c>
      <c r="C6" t="s">
        <v>25</v>
      </c>
      <c r="D6" t="s">
        <v>41</v>
      </c>
      <c r="E6" t="s">
        <v>29</v>
      </c>
      <c r="F6" t="s">
        <v>43</v>
      </c>
    </row>
    <row r="7" spans="1:6" x14ac:dyDescent="0.25">
      <c r="A7" s="2" t="s">
        <v>31</v>
      </c>
      <c r="B7" t="s">
        <v>24</v>
      </c>
      <c r="C7" t="s">
        <v>26</v>
      </c>
      <c r="D7" t="s">
        <v>41</v>
      </c>
      <c r="E7" t="s">
        <v>29</v>
      </c>
      <c r="F7" t="s">
        <v>43</v>
      </c>
    </row>
    <row r="8" spans="1:6" x14ac:dyDescent="0.25">
      <c r="A8" s="2" t="s">
        <v>31</v>
      </c>
      <c r="B8" t="s">
        <v>24</v>
      </c>
      <c r="C8" t="s">
        <v>26</v>
      </c>
      <c r="D8" t="s">
        <v>45</v>
      </c>
      <c r="E8" t="s">
        <v>29</v>
      </c>
      <c r="F8" t="s">
        <v>44</v>
      </c>
    </row>
    <row r="9" spans="1:6" x14ac:dyDescent="0.25">
      <c r="A9" s="2" t="s">
        <v>31</v>
      </c>
      <c r="B9" t="s">
        <v>30</v>
      </c>
      <c r="C9" t="s">
        <v>24</v>
      </c>
      <c r="D9" t="s">
        <v>41</v>
      </c>
      <c r="E9" t="s">
        <v>29</v>
      </c>
      <c r="F9" t="s">
        <v>43</v>
      </c>
    </row>
    <row r="10" spans="1:6" x14ac:dyDescent="0.25">
      <c r="A10" s="2" t="s">
        <v>31</v>
      </c>
      <c r="B10" t="s">
        <v>25</v>
      </c>
      <c r="C10" t="s">
        <v>24</v>
      </c>
      <c r="D10" t="s">
        <v>45</v>
      </c>
      <c r="E10" t="s">
        <v>29</v>
      </c>
      <c r="F10" t="s">
        <v>44</v>
      </c>
    </row>
    <row r="11" spans="1:6" x14ac:dyDescent="0.25">
      <c r="A11" s="2" t="s">
        <v>31</v>
      </c>
      <c r="B11" t="s">
        <v>24</v>
      </c>
      <c r="C11" t="s">
        <v>64</v>
      </c>
      <c r="D11" t="s">
        <v>41</v>
      </c>
      <c r="E11" t="s">
        <v>29</v>
      </c>
      <c r="F11" t="s">
        <v>43</v>
      </c>
    </row>
    <row r="12" spans="1:6" x14ac:dyDescent="0.25">
      <c r="A12" s="2" t="s">
        <v>31</v>
      </c>
      <c r="B12" t="s">
        <v>64</v>
      </c>
      <c r="C12" t="s">
        <v>23</v>
      </c>
      <c r="D12" t="s">
        <v>41</v>
      </c>
      <c r="E12" t="s">
        <v>29</v>
      </c>
      <c r="F12" t="s">
        <v>43</v>
      </c>
    </row>
    <row r="13" spans="1:6" x14ac:dyDescent="0.25">
      <c r="A13" s="7" t="s">
        <v>32</v>
      </c>
      <c r="B13" s="8" t="s">
        <v>23</v>
      </c>
      <c r="C13" s="8" t="s">
        <v>64</v>
      </c>
      <c r="D13" s="8" t="s">
        <v>42</v>
      </c>
      <c r="E13" s="8" t="s">
        <v>29</v>
      </c>
      <c r="F13" s="8" t="s">
        <v>39</v>
      </c>
    </row>
    <row r="14" spans="1:6" x14ac:dyDescent="0.25">
      <c r="A14" s="2" t="s">
        <v>32</v>
      </c>
      <c r="B14" t="s">
        <v>64</v>
      </c>
      <c r="C14" t="s">
        <v>26</v>
      </c>
      <c r="D14" t="s">
        <v>42</v>
      </c>
      <c r="E14" t="s">
        <v>29</v>
      </c>
      <c r="F14" t="s">
        <v>39</v>
      </c>
    </row>
    <row r="15" spans="1:6" x14ac:dyDescent="0.25">
      <c r="A15" s="2" t="s">
        <v>32</v>
      </c>
      <c r="B15" t="s">
        <v>64</v>
      </c>
      <c r="C15" t="s">
        <v>24</v>
      </c>
      <c r="D15" t="s">
        <v>42</v>
      </c>
      <c r="E15" t="s">
        <v>29</v>
      </c>
      <c r="F15" t="s">
        <v>39</v>
      </c>
    </row>
    <row r="16" spans="1:6" x14ac:dyDescent="0.25">
      <c r="A16" s="2" t="s">
        <v>32</v>
      </c>
      <c r="B16" t="s">
        <v>24</v>
      </c>
      <c r="C16" t="s">
        <v>25</v>
      </c>
      <c r="D16" t="s">
        <v>42</v>
      </c>
      <c r="E16" t="s">
        <v>29</v>
      </c>
      <c r="F16" t="s">
        <v>39</v>
      </c>
    </row>
    <row r="17" spans="1:6" x14ac:dyDescent="0.25">
      <c r="A17" s="2" t="s">
        <v>32</v>
      </c>
      <c r="B17" t="s">
        <v>24</v>
      </c>
      <c r="C17" t="s">
        <v>25</v>
      </c>
      <c r="D17" t="s">
        <v>41</v>
      </c>
      <c r="E17" t="s">
        <v>29</v>
      </c>
      <c r="F17" t="s">
        <v>43</v>
      </c>
    </row>
    <row r="18" spans="1:6" x14ac:dyDescent="0.25">
      <c r="A18" s="2" t="s">
        <v>32</v>
      </c>
      <c r="B18" t="s">
        <v>24</v>
      </c>
      <c r="C18" t="s">
        <v>26</v>
      </c>
      <c r="D18" t="s">
        <v>41</v>
      </c>
      <c r="E18" t="s">
        <v>29</v>
      </c>
      <c r="F18" t="s">
        <v>43</v>
      </c>
    </row>
    <row r="19" spans="1:6" x14ac:dyDescent="0.25">
      <c r="A19" s="2" t="s">
        <v>32</v>
      </c>
      <c r="B19" t="s">
        <v>24</v>
      </c>
      <c r="C19" t="s">
        <v>26</v>
      </c>
      <c r="D19" t="s">
        <v>45</v>
      </c>
      <c r="E19" t="s">
        <v>28</v>
      </c>
      <c r="F19" t="s">
        <v>44</v>
      </c>
    </row>
    <row r="20" spans="1:6" x14ac:dyDescent="0.25">
      <c r="A20" s="2" t="s">
        <v>32</v>
      </c>
      <c r="B20" t="s">
        <v>30</v>
      </c>
      <c r="C20" t="s">
        <v>24</v>
      </c>
      <c r="D20" t="s">
        <v>41</v>
      </c>
      <c r="E20" t="s">
        <v>29</v>
      </c>
      <c r="F20" t="s">
        <v>43</v>
      </c>
    </row>
    <row r="21" spans="1:6" x14ac:dyDescent="0.25">
      <c r="A21" s="2" t="s">
        <v>32</v>
      </c>
      <c r="B21" t="s">
        <v>25</v>
      </c>
      <c r="C21" t="s">
        <v>24</v>
      </c>
      <c r="D21" t="s">
        <v>45</v>
      </c>
      <c r="E21" t="s">
        <v>28</v>
      </c>
      <c r="F21" t="s">
        <v>44</v>
      </c>
    </row>
    <row r="22" spans="1:6" x14ac:dyDescent="0.25">
      <c r="A22" s="2" t="s">
        <v>32</v>
      </c>
      <c r="B22" t="s">
        <v>24</v>
      </c>
      <c r="C22" t="s">
        <v>64</v>
      </c>
      <c r="D22" t="s">
        <v>41</v>
      </c>
      <c r="E22" t="s">
        <v>29</v>
      </c>
      <c r="F22" t="s">
        <v>43</v>
      </c>
    </row>
    <row r="23" spans="1:6" x14ac:dyDescent="0.25">
      <c r="A23" s="2" t="s">
        <v>32</v>
      </c>
      <c r="B23" t="s">
        <v>64</v>
      </c>
      <c r="C23" t="s">
        <v>23</v>
      </c>
      <c r="D23" t="s">
        <v>41</v>
      </c>
      <c r="E23" t="s">
        <v>29</v>
      </c>
      <c r="F23" t="s">
        <v>43</v>
      </c>
    </row>
    <row r="24" spans="1:6" x14ac:dyDescent="0.25">
      <c r="A24" s="7" t="s">
        <v>33</v>
      </c>
      <c r="B24" s="8" t="s">
        <v>23</v>
      </c>
      <c r="C24" s="8" t="s">
        <v>64</v>
      </c>
      <c r="D24" s="8" t="s">
        <v>42</v>
      </c>
      <c r="E24" s="8" t="s">
        <v>28</v>
      </c>
      <c r="F24" s="8" t="s">
        <v>39</v>
      </c>
    </row>
    <row r="25" spans="1:6" x14ac:dyDescent="0.25">
      <c r="A25" s="2" t="s">
        <v>33</v>
      </c>
      <c r="B25" t="s">
        <v>64</v>
      </c>
      <c r="C25" t="s">
        <v>26</v>
      </c>
      <c r="D25" t="s">
        <v>42</v>
      </c>
      <c r="E25" t="s">
        <v>28</v>
      </c>
      <c r="F25" t="s">
        <v>39</v>
      </c>
    </row>
    <row r="26" spans="1:6" x14ac:dyDescent="0.25">
      <c r="A26" s="2" t="s">
        <v>33</v>
      </c>
      <c r="B26" t="s">
        <v>64</v>
      </c>
      <c r="C26" t="s">
        <v>24</v>
      </c>
      <c r="D26" t="s">
        <v>42</v>
      </c>
      <c r="E26" t="s">
        <v>28</v>
      </c>
      <c r="F26" t="s">
        <v>39</v>
      </c>
    </row>
    <row r="27" spans="1:6" x14ac:dyDescent="0.25">
      <c r="A27" s="2" t="s">
        <v>33</v>
      </c>
      <c r="B27" t="s">
        <v>24</v>
      </c>
      <c r="C27" t="s">
        <v>25</v>
      </c>
      <c r="D27" t="s">
        <v>42</v>
      </c>
      <c r="E27" t="s">
        <v>28</v>
      </c>
      <c r="F27" t="s">
        <v>39</v>
      </c>
    </row>
    <row r="28" spans="1:6" x14ac:dyDescent="0.25">
      <c r="A28" s="2" t="s">
        <v>33</v>
      </c>
      <c r="B28" t="s">
        <v>24</v>
      </c>
      <c r="C28" t="s">
        <v>25</v>
      </c>
      <c r="D28" t="s">
        <v>41</v>
      </c>
      <c r="E28" t="s">
        <v>29</v>
      </c>
      <c r="F28" t="s">
        <v>43</v>
      </c>
    </row>
    <row r="29" spans="1:6" x14ac:dyDescent="0.25">
      <c r="A29" s="2" t="s">
        <v>33</v>
      </c>
      <c r="B29" t="s">
        <v>24</v>
      </c>
      <c r="C29" t="s">
        <v>26</v>
      </c>
      <c r="D29" t="s">
        <v>41</v>
      </c>
      <c r="E29" t="s">
        <v>29</v>
      </c>
      <c r="F29" t="s">
        <v>43</v>
      </c>
    </row>
    <row r="30" spans="1:6" x14ac:dyDescent="0.25">
      <c r="A30" s="2" t="s">
        <v>33</v>
      </c>
      <c r="B30" t="s">
        <v>24</v>
      </c>
      <c r="C30" t="s">
        <v>26</v>
      </c>
      <c r="D30" t="s">
        <v>45</v>
      </c>
      <c r="E30" t="s">
        <v>29</v>
      </c>
      <c r="F30" t="s">
        <v>44</v>
      </c>
    </row>
    <row r="31" spans="1:6" x14ac:dyDescent="0.25">
      <c r="A31" s="2" t="s">
        <v>33</v>
      </c>
      <c r="B31" t="s">
        <v>30</v>
      </c>
      <c r="C31" t="s">
        <v>24</v>
      </c>
      <c r="D31" t="s">
        <v>41</v>
      </c>
      <c r="E31" t="s">
        <v>29</v>
      </c>
      <c r="F31" t="s">
        <v>43</v>
      </c>
    </row>
    <row r="32" spans="1:6" x14ac:dyDescent="0.25">
      <c r="A32" s="2" t="s">
        <v>33</v>
      </c>
      <c r="B32" t="s">
        <v>25</v>
      </c>
      <c r="C32" t="s">
        <v>24</v>
      </c>
      <c r="D32" t="s">
        <v>45</v>
      </c>
      <c r="E32" t="s">
        <v>29</v>
      </c>
      <c r="F32" t="s">
        <v>44</v>
      </c>
    </row>
    <row r="33" spans="1:6" x14ac:dyDescent="0.25">
      <c r="A33" s="2" t="s">
        <v>33</v>
      </c>
      <c r="B33" t="s">
        <v>24</v>
      </c>
      <c r="C33" t="s">
        <v>64</v>
      </c>
      <c r="D33" t="s">
        <v>41</v>
      </c>
      <c r="E33" t="s">
        <v>29</v>
      </c>
      <c r="F33" t="s">
        <v>43</v>
      </c>
    </row>
    <row r="34" spans="1:6" x14ac:dyDescent="0.25">
      <c r="A34" s="2" t="s">
        <v>33</v>
      </c>
      <c r="B34" t="s">
        <v>64</v>
      </c>
      <c r="C34" t="s">
        <v>23</v>
      </c>
      <c r="D34" t="s">
        <v>41</v>
      </c>
      <c r="E34" t="s">
        <v>29</v>
      </c>
      <c r="F34" t="s">
        <v>43</v>
      </c>
    </row>
    <row r="35" spans="1:6" x14ac:dyDescent="0.25">
      <c r="A35" s="7" t="s">
        <v>34</v>
      </c>
      <c r="B35" s="8" t="s">
        <v>23</v>
      </c>
      <c r="C35" s="8" t="s">
        <v>64</v>
      </c>
      <c r="D35" s="8" t="s">
        <v>42</v>
      </c>
      <c r="E35" s="8" t="s">
        <v>28</v>
      </c>
      <c r="F35" s="8" t="s">
        <v>39</v>
      </c>
    </row>
    <row r="36" spans="1:6" x14ac:dyDescent="0.25">
      <c r="A36" s="2" t="s">
        <v>34</v>
      </c>
      <c r="B36" t="s">
        <v>64</v>
      </c>
      <c r="C36" t="s">
        <v>26</v>
      </c>
      <c r="D36" t="s">
        <v>42</v>
      </c>
      <c r="E36" t="s">
        <v>28</v>
      </c>
      <c r="F36" t="s">
        <v>39</v>
      </c>
    </row>
    <row r="37" spans="1:6" x14ac:dyDescent="0.25">
      <c r="A37" s="2" t="s">
        <v>34</v>
      </c>
      <c r="B37" t="s">
        <v>64</v>
      </c>
      <c r="C37" t="s">
        <v>24</v>
      </c>
      <c r="D37" t="s">
        <v>42</v>
      </c>
      <c r="E37" t="s">
        <v>29</v>
      </c>
      <c r="F37" t="s">
        <v>39</v>
      </c>
    </row>
    <row r="38" spans="1:6" x14ac:dyDescent="0.25">
      <c r="A38" s="2" t="s">
        <v>34</v>
      </c>
      <c r="B38" t="s">
        <v>24</v>
      </c>
      <c r="C38" t="s">
        <v>25</v>
      </c>
      <c r="D38" t="s">
        <v>42</v>
      </c>
      <c r="E38" t="s">
        <v>29</v>
      </c>
      <c r="F38" t="s">
        <v>39</v>
      </c>
    </row>
    <row r="39" spans="1:6" x14ac:dyDescent="0.25">
      <c r="A39" s="2" t="s">
        <v>34</v>
      </c>
      <c r="B39" t="s">
        <v>24</v>
      </c>
      <c r="C39" t="s">
        <v>25</v>
      </c>
      <c r="D39" t="s">
        <v>41</v>
      </c>
      <c r="E39" t="s">
        <v>29</v>
      </c>
      <c r="F39" t="s">
        <v>43</v>
      </c>
    </row>
    <row r="40" spans="1:6" x14ac:dyDescent="0.25">
      <c r="A40" s="2" t="s">
        <v>34</v>
      </c>
      <c r="B40" t="s">
        <v>24</v>
      </c>
      <c r="C40" t="s">
        <v>26</v>
      </c>
      <c r="D40" t="s">
        <v>41</v>
      </c>
      <c r="E40" t="s">
        <v>28</v>
      </c>
      <c r="F40" t="s">
        <v>43</v>
      </c>
    </row>
    <row r="41" spans="1:6" x14ac:dyDescent="0.25">
      <c r="A41" s="2" t="s">
        <v>34</v>
      </c>
      <c r="B41" t="s">
        <v>24</v>
      </c>
      <c r="C41" t="s">
        <v>26</v>
      </c>
      <c r="D41" t="s">
        <v>45</v>
      </c>
      <c r="E41" t="s">
        <v>29</v>
      </c>
      <c r="F41" t="s">
        <v>44</v>
      </c>
    </row>
    <row r="42" spans="1:6" x14ac:dyDescent="0.25">
      <c r="A42" s="2" t="s">
        <v>34</v>
      </c>
      <c r="B42" t="s">
        <v>30</v>
      </c>
      <c r="C42" t="s">
        <v>24</v>
      </c>
      <c r="D42" t="s">
        <v>41</v>
      </c>
      <c r="E42" t="s">
        <v>28</v>
      </c>
      <c r="F42" t="s">
        <v>43</v>
      </c>
    </row>
    <row r="43" spans="1:6" x14ac:dyDescent="0.25">
      <c r="A43" s="2" t="s">
        <v>34</v>
      </c>
      <c r="B43" t="s">
        <v>25</v>
      </c>
      <c r="C43" t="s">
        <v>24</v>
      </c>
      <c r="D43" t="s">
        <v>45</v>
      </c>
      <c r="E43" t="s">
        <v>29</v>
      </c>
      <c r="F43" t="s">
        <v>44</v>
      </c>
    </row>
    <row r="44" spans="1:6" x14ac:dyDescent="0.25">
      <c r="A44" s="2" t="s">
        <v>34</v>
      </c>
      <c r="B44" t="s">
        <v>24</v>
      </c>
      <c r="C44" t="s">
        <v>64</v>
      </c>
      <c r="D44" t="s">
        <v>41</v>
      </c>
      <c r="E44" t="s">
        <v>29</v>
      </c>
      <c r="F44" t="s">
        <v>43</v>
      </c>
    </row>
    <row r="45" spans="1:6" x14ac:dyDescent="0.25">
      <c r="A45" s="2" t="s">
        <v>34</v>
      </c>
      <c r="B45" t="s">
        <v>64</v>
      </c>
      <c r="C45" t="s">
        <v>23</v>
      </c>
      <c r="D45" t="s">
        <v>41</v>
      </c>
      <c r="E45" t="s">
        <v>29</v>
      </c>
      <c r="F45" t="s">
        <v>43</v>
      </c>
    </row>
    <row r="46" spans="1:6" x14ac:dyDescent="0.25">
      <c r="A46" s="7" t="s">
        <v>35</v>
      </c>
      <c r="B46" s="8" t="s">
        <v>23</v>
      </c>
      <c r="C46" s="8" t="s">
        <v>64</v>
      </c>
      <c r="D46" s="8" t="s">
        <v>42</v>
      </c>
      <c r="E46" s="8" t="s">
        <v>29</v>
      </c>
      <c r="F46" s="8" t="s">
        <v>39</v>
      </c>
    </row>
    <row r="47" spans="1:6" x14ac:dyDescent="0.25">
      <c r="A47" s="2" t="s">
        <v>35</v>
      </c>
      <c r="B47" t="s">
        <v>64</v>
      </c>
      <c r="C47" t="s">
        <v>26</v>
      </c>
      <c r="D47" t="s">
        <v>42</v>
      </c>
      <c r="E47" t="s">
        <v>29</v>
      </c>
      <c r="F47" t="s">
        <v>39</v>
      </c>
    </row>
    <row r="48" spans="1:6" x14ac:dyDescent="0.25">
      <c r="A48" s="2" t="s">
        <v>35</v>
      </c>
      <c r="B48" t="s">
        <v>64</v>
      </c>
      <c r="C48" t="s">
        <v>24</v>
      </c>
      <c r="D48" t="s">
        <v>42</v>
      </c>
      <c r="E48" t="s">
        <v>29</v>
      </c>
      <c r="F48" t="s">
        <v>39</v>
      </c>
    </row>
    <row r="49" spans="1:6" x14ac:dyDescent="0.25">
      <c r="A49" s="2" t="s">
        <v>35</v>
      </c>
      <c r="B49" t="s">
        <v>24</v>
      </c>
      <c r="C49" t="s">
        <v>25</v>
      </c>
      <c r="D49" t="s">
        <v>42</v>
      </c>
      <c r="E49" t="s">
        <v>29</v>
      </c>
      <c r="F49" t="s">
        <v>39</v>
      </c>
    </row>
    <row r="50" spans="1:6" x14ac:dyDescent="0.25">
      <c r="A50" s="2" t="s">
        <v>35</v>
      </c>
      <c r="B50" t="s">
        <v>24</v>
      </c>
      <c r="C50" t="s">
        <v>25</v>
      </c>
      <c r="D50" t="s">
        <v>41</v>
      </c>
      <c r="E50" t="s">
        <v>29</v>
      </c>
      <c r="F50" t="s">
        <v>43</v>
      </c>
    </row>
    <row r="51" spans="1:6" x14ac:dyDescent="0.25">
      <c r="A51" s="2" t="s">
        <v>35</v>
      </c>
      <c r="B51" t="s">
        <v>24</v>
      </c>
      <c r="C51" t="s">
        <v>26</v>
      </c>
      <c r="D51" t="s">
        <v>41</v>
      </c>
      <c r="E51" t="s">
        <v>28</v>
      </c>
      <c r="F51" t="s">
        <v>43</v>
      </c>
    </row>
    <row r="52" spans="1:6" x14ac:dyDescent="0.25">
      <c r="A52" s="2" t="s">
        <v>35</v>
      </c>
      <c r="B52" t="s">
        <v>24</v>
      </c>
      <c r="C52" t="s">
        <v>26</v>
      </c>
      <c r="D52" t="s">
        <v>45</v>
      </c>
      <c r="E52" t="s">
        <v>29</v>
      </c>
      <c r="F52" t="s">
        <v>44</v>
      </c>
    </row>
    <row r="53" spans="1:6" x14ac:dyDescent="0.25">
      <c r="A53" s="2" t="s">
        <v>35</v>
      </c>
      <c r="B53" t="s">
        <v>30</v>
      </c>
      <c r="C53" t="s">
        <v>24</v>
      </c>
      <c r="D53" t="s">
        <v>41</v>
      </c>
      <c r="E53" t="s">
        <v>28</v>
      </c>
      <c r="F53" t="s">
        <v>43</v>
      </c>
    </row>
    <row r="54" spans="1:6" x14ac:dyDescent="0.25">
      <c r="A54" s="2" t="s">
        <v>35</v>
      </c>
      <c r="B54" t="s">
        <v>25</v>
      </c>
      <c r="C54" t="s">
        <v>24</v>
      </c>
      <c r="D54" t="s">
        <v>45</v>
      </c>
      <c r="E54" t="s">
        <v>29</v>
      </c>
      <c r="F54" t="s">
        <v>44</v>
      </c>
    </row>
    <row r="55" spans="1:6" x14ac:dyDescent="0.25">
      <c r="A55" s="2" t="s">
        <v>35</v>
      </c>
      <c r="B55" t="s">
        <v>24</v>
      </c>
      <c r="C55" t="s">
        <v>64</v>
      </c>
      <c r="D55" t="s">
        <v>41</v>
      </c>
      <c r="E55" t="s">
        <v>28</v>
      </c>
      <c r="F55" t="s">
        <v>43</v>
      </c>
    </row>
    <row r="56" spans="1:6" x14ac:dyDescent="0.25">
      <c r="A56" s="2" t="s">
        <v>35</v>
      </c>
      <c r="B56" t="s">
        <v>64</v>
      </c>
      <c r="C56" t="s">
        <v>23</v>
      </c>
      <c r="D56" t="s">
        <v>41</v>
      </c>
      <c r="E56" t="s">
        <v>28</v>
      </c>
      <c r="F56" t="s">
        <v>43</v>
      </c>
    </row>
    <row r="57" spans="1:6" x14ac:dyDescent="0.25">
      <c r="A57" s="7" t="s">
        <v>36</v>
      </c>
      <c r="B57" s="8" t="s">
        <v>23</v>
      </c>
      <c r="C57" s="8" t="s">
        <v>64</v>
      </c>
      <c r="D57" s="8" t="s">
        <v>42</v>
      </c>
      <c r="E57" s="8" t="s">
        <v>29</v>
      </c>
      <c r="F57" s="8" t="s">
        <v>39</v>
      </c>
    </row>
    <row r="58" spans="1:6" x14ac:dyDescent="0.25">
      <c r="A58" s="2" t="s">
        <v>36</v>
      </c>
      <c r="B58" t="s">
        <v>64</v>
      </c>
      <c r="C58" t="s">
        <v>26</v>
      </c>
      <c r="D58" t="s">
        <v>42</v>
      </c>
      <c r="E58" t="s">
        <v>29</v>
      </c>
      <c r="F58" t="s">
        <v>39</v>
      </c>
    </row>
    <row r="59" spans="1:6" x14ac:dyDescent="0.25">
      <c r="A59" s="2" t="s">
        <v>36</v>
      </c>
      <c r="B59" t="s">
        <v>64</v>
      </c>
      <c r="C59" t="s">
        <v>24</v>
      </c>
      <c r="D59" t="s">
        <v>42</v>
      </c>
      <c r="E59" t="s">
        <v>29</v>
      </c>
      <c r="F59" t="s">
        <v>39</v>
      </c>
    </row>
    <row r="60" spans="1:6" x14ac:dyDescent="0.25">
      <c r="A60" s="2" t="s">
        <v>36</v>
      </c>
      <c r="B60" t="s">
        <v>24</v>
      </c>
      <c r="C60" t="s">
        <v>25</v>
      </c>
      <c r="D60" t="s">
        <v>42</v>
      </c>
      <c r="E60" t="s">
        <v>29</v>
      </c>
      <c r="F60" t="s">
        <v>39</v>
      </c>
    </row>
    <row r="61" spans="1:6" x14ac:dyDescent="0.25">
      <c r="A61" s="2" t="s">
        <v>36</v>
      </c>
      <c r="B61" t="s">
        <v>24</v>
      </c>
      <c r="C61" t="s">
        <v>25</v>
      </c>
      <c r="D61" t="s">
        <v>41</v>
      </c>
      <c r="E61" t="s">
        <v>28</v>
      </c>
      <c r="F61" t="s">
        <v>43</v>
      </c>
    </row>
    <row r="62" spans="1:6" x14ac:dyDescent="0.25">
      <c r="A62" s="2" t="s">
        <v>36</v>
      </c>
      <c r="B62" t="s">
        <v>24</v>
      </c>
      <c r="C62" t="s">
        <v>26</v>
      </c>
      <c r="D62" t="s">
        <v>41</v>
      </c>
      <c r="E62" t="s">
        <v>28</v>
      </c>
      <c r="F62" t="s">
        <v>43</v>
      </c>
    </row>
    <row r="63" spans="1:6" x14ac:dyDescent="0.25">
      <c r="A63" s="2" t="s">
        <v>36</v>
      </c>
      <c r="B63" t="s">
        <v>24</v>
      </c>
      <c r="C63" t="s">
        <v>26</v>
      </c>
      <c r="D63" t="s">
        <v>45</v>
      </c>
      <c r="E63" t="s">
        <v>29</v>
      </c>
      <c r="F63" t="s">
        <v>44</v>
      </c>
    </row>
    <row r="64" spans="1:6" x14ac:dyDescent="0.25">
      <c r="A64" s="2" t="s">
        <v>36</v>
      </c>
      <c r="B64" t="s">
        <v>30</v>
      </c>
      <c r="C64" t="s">
        <v>24</v>
      </c>
      <c r="D64" t="s">
        <v>41</v>
      </c>
      <c r="E64" t="s">
        <v>28</v>
      </c>
      <c r="F64" t="s">
        <v>43</v>
      </c>
    </row>
    <row r="65" spans="1:6" x14ac:dyDescent="0.25">
      <c r="A65" s="2" t="s">
        <v>36</v>
      </c>
      <c r="B65" t="s">
        <v>25</v>
      </c>
      <c r="C65" t="s">
        <v>24</v>
      </c>
      <c r="D65" t="s">
        <v>45</v>
      </c>
      <c r="E65" t="s">
        <v>29</v>
      </c>
      <c r="F65" t="s">
        <v>44</v>
      </c>
    </row>
    <row r="66" spans="1:6" x14ac:dyDescent="0.25">
      <c r="A66" s="2" t="s">
        <v>36</v>
      </c>
      <c r="B66" t="s">
        <v>24</v>
      </c>
      <c r="C66" t="s">
        <v>64</v>
      </c>
      <c r="D66" t="s">
        <v>41</v>
      </c>
      <c r="E66" t="s">
        <v>29</v>
      </c>
      <c r="F66" t="s">
        <v>43</v>
      </c>
    </row>
    <row r="67" spans="1:6" x14ac:dyDescent="0.25">
      <c r="A67" s="2" t="s">
        <v>36</v>
      </c>
      <c r="B67" t="s">
        <v>64</v>
      </c>
      <c r="C67" t="s">
        <v>23</v>
      </c>
      <c r="D67" t="s">
        <v>41</v>
      </c>
      <c r="E67" t="s">
        <v>29</v>
      </c>
      <c r="F67" t="s">
        <v>43</v>
      </c>
    </row>
    <row r="68" spans="1:6" x14ac:dyDescent="0.25">
      <c r="A68" s="7" t="s">
        <v>37</v>
      </c>
      <c r="B68" s="8" t="s">
        <v>23</v>
      </c>
      <c r="C68" s="8" t="s">
        <v>64</v>
      </c>
      <c r="D68" s="8" t="s">
        <v>42</v>
      </c>
      <c r="E68" s="8" t="s">
        <v>29</v>
      </c>
      <c r="F68" s="8" t="s">
        <v>39</v>
      </c>
    </row>
    <row r="69" spans="1:6" x14ac:dyDescent="0.25">
      <c r="A69" s="2" t="s">
        <v>37</v>
      </c>
      <c r="B69" t="s">
        <v>64</v>
      </c>
      <c r="C69" t="s">
        <v>26</v>
      </c>
      <c r="D69" t="s">
        <v>42</v>
      </c>
      <c r="E69" t="s">
        <v>29</v>
      </c>
      <c r="F69" t="s">
        <v>39</v>
      </c>
    </row>
    <row r="70" spans="1:6" x14ac:dyDescent="0.25">
      <c r="A70" s="2" t="s">
        <v>37</v>
      </c>
      <c r="B70" t="s">
        <v>64</v>
      </c>
      <c r="C70" t="s">
        <v>24</v>
      </c>
      <c r="D70" t="s">
        <v>42</v>
      </c>
      <c r="E70" t="s">
        <v>29</v>
      </c>
      <c r="F70" t="s">
        <v>39</v>
      </c>
    </row>
    <row r="71" spans="1:6" x14ac:dyDescent="0.25">
      <c r="A71" s="2" t="s">
        <v>37</v>
      </c>
      <c r="B71" t="s">
        <v>24</v>
      </c>
      <c r="C71" t="s">
        <v>25</v>
      </c>
      <c r="D71" t="s">
        <v>42</v>
      </c>
      <c r="E71" t="s">
        <v>29</v>
      </c>
      <c r="F71" t="s">
        <v>39</v>
      </c>
    </row>
    <row r="72" spans="1:6" x14ac:dyDescent="0.25">
      <c r="A72" s="2" t="s">
        <v>37</v>
      </c>
      <c r="B72" t="s">
        <v>24</v>
      </c>
      <c r="C72" t="s">
        <v>25</v>
      </c>
      <c r="D72" t="s">
        <v>41</v>
      </c>
      <c r="E72" t="s">
        <v>29</v>
      </c>
      <c r="F72" t="s">
        <v>43</v>
      </c>
    </row>
    <row r="73" spans="1:6" x14ac:dyDescent="0.25">
      <c r="A73" s="2" t="s">
        <v>37</v>
      </c>
      <c r="B73" t="s">
        <v>24</v>
      </c>
      <c r="C73" t="s">
        <v>26</v>
      </c>
      <c r="D73" t="s">
        <v>41</v>
      </c>
      <c r="E73" t="s">
        <v>28</v>
      </c>
      <c r="F73" t="s">
        <v>43</v>
      </c>
    </row>
    <row r="74" spans="1:6" x14ac:dyDescent="0.25">
      <c r="A74" s="2" t="s">
        <v>37</v>
      </c>
      <c r="B74" t="s">
        <v>24</v>
      </c>
      <c r="C74" t="s">
        <v>26</v>
      </c>
      <c r="D74" t="s">
        <v>45</v>
      </c>
      <c r="E74" t="s">
        <v>28</v>
      </c>
      <c r="F74" t="s">
        <v>44</v>
      </c>
    </row>
    <row r="75" spans="1:6" x14ac:dyDescent="0.25">
      <c r="A75" s="2" t="s">
        <v>37</v>
      </c>
      <c r="B75" t="s">
        <v>30</v>
      </c>
      <c r="C75" t="s">
        <v>24</v>
      </c>
      <c r="D75" t="s">
        <v>41</v>
      </c>
      <c r="E75" t="s">
        <v>28</v>
      </c>
      <c r="F75" t="s">
        <v>43</v>
      </c>
    </row>
    <row r="76" spans="1:6" x14ac:dyDescent="0.25">
      <c r="A76" s="2" t="s">
        <v>37</v>
      </c>
      <c r="B76" t="s">
        <v>25</v>
      </c>
      <c r="C76" t="s">
        <v>24</v>
      </c>
      <c r="D76" t="s">
        <v>45</v>
      </c>
      <c r="E76" t="s">
        <v>28</v>
      </c>
      <c r="F76" t="s">
        <v>44</v>
      </c>
    </row>
    <row r="77" spans="1:6" x14ac:dyDescent="0.25">
      <c r="A77" s="2" t="s">
        <v>37</v>
      </c>
      <c r="B77" t="s">
        <v>24</v>
      </c>
      <c r="C77" t="s">
        <v>64</v>
      </c>
      <c r="D77" t="s">
        <v>41</v>
      </c>
      <c r="E77" t="s">
        <v>29</v>
      </c>
      <c r="F77" t="s">
        <v>43</v>
      </c>
    </row>
    <row r="78" spans="1:6" x14ac:dyDescent="0.25">
      <c r="A78" s="2" t="s">
        <v>37</v>
      </c>
      <c r="B78" t="s">
        <v>64</v>
      </c>
      <c r="C78" t="s">
        <v>23</v>
      </c>
      <c r="D78" t="s">
        <v>41</v>
      </c>
      <c r="E78" t="s">
        <v>29</v>
      </c>
      <c r="F78" t="s">
        <v>43</v>
      </c>
    </row>
  </sheetData>
  <conditionalFormatting sqref="E1:E1048576 F2:F78">
    <cfRule type="cellIs" dxfId="1" priority="1" operator="equal">
      <formula>"inactive"</formula>
    </cfRule>
    <cfRule type="cellIs" dxfId="0" priority="2" operator="equal">
      <formula>"active"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7C240-2D7E-420F-840A-7955F8042DC9}">
  <dimension ref="A1:D13"/>
  <sheetViews>
    <sheetView workbookViewId="0">
      <selection activeCell="C3" sqref="C3"/>
    </sheetView>
  </sheetViews>
  <sheetFormatPr defaultRowHeight="15" x14ac:dyDescent="0.25"/>
  <cols>
    <col min="3" max="3" width="10.7109375" customWidth="1"/>
  </cols>
  <sheetData>
    <row r="1" spans="1:4" x14ac:dyDescent="0.25">
      <c r="A1" t="s">
        <v>27</v>
      </c>
    </row>
    <row r="2" spans="1:4" x14ac:dyDescent="0.25">
      <c r="A2" t="s">
        <v>31</v>
      </c>
      <c r="B2" t="s">
        <v>50</v>
      </c>
      <c r="C2" t="s">
        <v>65</v>
      </c>
      <c r="D2" t="s">
        <v>61</v>
      </c>
    </row>
    <row r="3" spans="1:4" x14ac:dyDescent="0.25">
      <c r="A3" t="s">
        <v>32</v>
      </c>
      <c r="B3" t="s">
        <v>52</v>
      </c>
      <c r="C3" t="s">
        <v>62</v>
      </c>
      <c r="D3" t="s">
        <v>61</v>
      </c>
    </row>
    <row r="4" spans="1:4" x14ac:dyDescent="0.25">
      <c r="A4" t="s">
        <v>33</v>
      </c>
      <c r="B4" t="s">
        <v>50</v>
      </c>
      <c r="C4" t="s">
        <v>60</v>
      </c>
      <c r="D4" t="s">
        <v>61</v>
      </c>
    </row>
    <row r="5" spans="1:4" x14ac:dyDescent="0.25">
      <c r="B5" t="s">
        <v>50</v>
      </c>
      <c r="C5" t="s">
        <v>62</v>
      </c>
      <c r="D5" t="s">
        <v>52</v>
      </c>
    </row>
    <row r="6" spans="1:4" x14ac:dyDescent="0.25">
      <c r="A6" t="s">
        <v>34</v>
      </c>
      <c r="B6" t="s">
        <v>50</v>
      </c>
      <c r="C6" t="s">
        <v>60</v>
      </c>
      <c r="D6" t="s">
        <v>61</v>
      </c>
    </row>
    <row r="7" spans="1:4" x14ac:dyDescent="0.25">
      <c r="B7" t="s">
        <v>51</v>
      </c>
      <c r="C7" t="s">
        <v>62</v>
      </c>
      <c r="D7" t="s">
        <v>61</v>
      </c>
    </row>
    <row r="8" spans="1:4" x14ac:dyDescent="0.25">
      <c r="A8" t="s">
        <v>35</v>
      </c>
      <c r="B8" t="s">
        <v>51</v>
      </c>
      <c r="C8" t="s">
        <v>60</v>
      </c>
      <c r="D8" t="s">
        <v>50</v>
      </c>
    </row>
    <row r="9" spans="1:4" x14ac:dyDescent="0.25">
      <c r="B9" t="s">
        <v>51</v>
      </c>
      <c r="C9" t="s">
        <v>62</v>
      </c>
      <c r="D9" t="s">
        <v>61</v>
      </c>
    </row>
    <row r="10" spans="1:4" x14ac:dyDescent="0.25">
      <c r="A10" t="s">
        <v>36</v>
      </c>
      <c r="B10" t="s">
        <v>51</v>
      </c>
      <c r="C10" t="s">
        <v>62</v>
      </c>
      <c r="D10" t="s">
        <v>52</v>
      </c>
    </row>
    <row r="11" spans="1:4" x14ac:dyDescent="0.25">
      <c r="B11" t="s">
        <v>51</v>
      </c>
      <c r="C11" t="s">
        <v>62</v>
      </c>
      <c r="D11" t="s">
        <v>61</v>
      </c>
    </row>
    <row r="12" spans="1:4" x14ac:dyDescent="0.25">
      <c r="A12" t="s">
        <v>37</v>
      </c>
      <c r="B12" t="s">
        <v>51</v>
      </c>
      <c r="C12" t="s">
        <v>62</v>
      </c>
      <c r="D12" t="s">
        <v>61</v>
      </c>
    </row>
    <row r="13" spans="1:4" x14ac:dyDescent="0.25">
      <c r="B13" t="s">
        <v>52</v>
      </c>
      <c r="C13" t="s">
        <v>62</v>
      </c>
      <c r="D13" t="s">
        <v>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Consumption</vt:lpstr>
      <vt:lpstr>Paths</vt:lpstr>
      <vt:lpstr>Path 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d'Orey</dc:creator>
  <cp:lastModifiedBy>Patrick d'Orey</cp:lastModifiedBy>
  <dcterms:created xsi:type="dcterms:W3CDTF">2026-01-20T20:14:57Z</dcterms:created>
  <dcterms:modified xsi:type="dcterms:W3CDTF">2026-02-26T10:52:19Z</dcterms:modified>
</cp:coreProperties>
</file>