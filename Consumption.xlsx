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ACCA4258-3F0A-4D2C-97E5-8EF811031FB1}" xr6:coauthVersionLast="47" xr6:coauthVersionMax="47" xr10:uidLastSave="{00000000-0000-0000-0000-000000000000}"/>
  <bookViews>
    <workbookView xWindow="29415" yWindow="1515" windowWidth="21600" windowHeight="13215" xr2:uid="{DBB553FB-9E8C-47FF-81A1-BDC0FE81551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" i="1" l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H55" i="1"/>
  <c r="F55" i="1" s="1"/>
  <c r="H16" i="1"/>
  <c r="H17" i="1"/>
  <c r="H15" i="1"/>
  <c r="H14" i="1"/>
  <c r="H13" i="1"/>
  <c r="H12" i="1"/>
  <c r="H11" i="1"/>
  <c r="H10" i="1"/>
  <c r="H9" i="1"/>
  <c r="H8" i="1"/>
  <c r="H7" i="1"/>
  <c r="F97" i="1"/>
  <c r="F96" i="1"/>
  <c r="F95" i="1"/>
  <c r="F94" i="1"/>
  <c r="F93" i="1"/>
  <c r="F92" i="1"/>
  <c r="F91" i="1"/>
  <c r="F90" i="1"/>
  <c r="F89" i="1"/>
  <c r="F56" i="1"/>
  <c r="H86" i="1"/>
  <c r="F86" i="1" s="1"/>
  <c r="H85" i="1"/>
  <c r="F85" i="1" s="1"/>
  <c r="H84" i="1"/>
  <c r="F84" i="1" s="1"/>
  <c r="H83" i="1"/>
  <c r="F83" i="1" s="1"/>
  <c r="H82" i="1"/>
  <c r="F82" i="1" s="1"/>
  <c r="H81" i="1"/>
  <c r="F81" i="1" s="1"/>
  <c r="H80" i="1"/>
  <c r="F80" i="1" s="1"/>
  <c r="H79" i="1"/>
  <c r="F79" i="1" s="1"/>
  <c r="H78" i="1"/>
  <c r="F78" i="1" s="1"/>
  <c r="F58" i="1"/>
  <c r="F57" i="1"/>
  <c r="H6" i="1"/>
  <c r="H5" i="1"/>
  <c r="H4" i="1"/>
  <c r="H3" i="1"/>
  <c r="H2" i="1"/>
  <c r="J2" i="1" s="1"/>
  <c r="J3" i="1" s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F88" i="1"/>
  <c r="F87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H54" i="1"/>
  <c r="F54" i="1" s="1"/>
  <c r="H53" i="1"/>
  <c r="F53" i="1" s="1"/>
  <c r="H52" i="1"/>
  <c r="F52" i="1" s="1"/>
  <c r="H51" i="1"/>
  <c r="F51" i="1" s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</calcChain>
</file>

<file path=xl/sharedStrings.xml><?xml version="1.0" encoding="utf-8"?>
<sst xmlns="http://schemas.openxmlformats.org/spreadsheetml/2006/main" count="292" uniqueCount="33">
  <si>
    <t>PATHS</t>
  </si>
  <si>
    <t>GRID</t>
  </si>
  <si>
    <t>GRID METER</t>
  </si>
  <si>
    <t>BUILDING</t>
  </si>
  <si>
    <t>Step 1</t>
  </si>
  <si>
    <t>Step 2</t>
  </si>
  <si>
    <t>Step 3</t>
  </si>
  <si>
    <t>INVERTER</t>
  </si>
  <si>
    <t>BATTERY</t>
  </si>
  <si>
    <t>SOLAR</t>
  </si>
  <si>
    <t>Exporting</t>
  </si>
  <si>
    <t>PATH 1</t>
  </si>
  <si>
    <t>PATH 2</t>
  </si>
  <si>
    <t>GRID PWR</t>
  </si>
  <si>
    <t>BATTERY PWR</t>
  </si>
  <si>
    <t>Importing</t>
  </si>
  <si>
    <t>Charging</t>
  </si>
  <si>
    <t>Discharging</t>
  </si>
  <si>
    <t>TIME</t>
  </si>
  <si>
    <t>Step 4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</si>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</sst>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L98"/>
  <sheetViews>
    <sheetView tabSelected="1" workbookViewId="0">
      <pane ySplit="1" topLeftCell="A64" activePane="bottomLeft" state="frozenSplit"/>
      <selection pane="bottomLeft" activeCell="D1" sqref="D1:D1048576"/>
    </sheetView>
  </sheetViews>
  <sheetFormatPr defaultRowHeight="15" x14ac:dyDescent="0.25"/>
  <cols>
    <col min="2" max="3" width="9.140625" style="2"/>
    <col min="5" max="5" width="11.28515625" customWidth="1"/>
    <col min="6" max="7" width="11" customWidth="1"/>
    <col min="9" max="9" width="11.5703125" bestFit="1" customWidth="1"/>
    <col min="10" max="10" width="11.5703125" customWidth="1"/>
    <col min="13" max="13" width="18.85546875" customWidth="1"/>
  </cols>
  <sheetData>
    <row r="1" spans="1:12" ht="45" x14ac:dyDescent="0.25">
      <c r="A1" t="s">
        <v>18</v>
      </c>
      <c r="B1" s="4" t="s">
        <v>11</v>
      </c>
      <c r="C1" s="4" t="s">
        <v>12</v>
      </c>
      <c r="D1" s="3" t="s">
        <v>24</v>
      </c>
      <c r="E1" s="3" t="s">
        <v>25</v>
      </c>
      <c r="F1" s="3" t="s">
        <v>13</v>
      </c>
      <c r="G1" s="3" t="s">
        <v>26</v>
      </c>
      <c r="H1" s="3" t="s">
        <v>14</v>
      </c>
      <c r="I1" s="3" t="s">
        <v>27</v>
      </c>
      <c r="J1" s="3" t="s">
        <v>31</v>
      </c>
      <c r="K1" s="3" t="s">
        <v>28</v>
      </c>
      <c r="L1" s="3" t="s">
        <v>29</v>
      </c>
    </row>
    <row r="2" spans="1:12" x14ac:dyDescent="0.25">
      <c r="A2" s="1">
        <v>0</v>
      </c>
      <c r="B2" s="2">
        <v>6</v>
      </c>
      <c r="D2">
        <v>7.6050000000000004</v>
      </c>
      <c r="E2" t="s">
        <v>20</v>
      </c>
      <c r="H2">
        <f t="shared" ref="H2:H15" si="0">K2-D2</f>
        <v>-7.6050000000000004</v>
      </c>
      <c r="I2" t="s">
        <v>17</v>
      </c>
      <c r="J2" s="5">
        <f>0.95+H2*0.5%</f>
        <v>0.91197499999999998</v>
      </c>
      <c r="K2">
        <v>0</v>
      </c>
    </row>
    <row r="3" spans="1:12" x14ac:dyDescent="0.25">
      <c r="A3" s="1">
        <v>1.0416666666666666E-2</v>
      </c>
      <c r="B3" s="2">
        <v>6</v>
      </c>
      <c r="D3">
        <v>7.7099999999999991</v>
      </c>
      <c r="E3" t="s">
        <v>20</v>
      </c>
      <c r="H3">
        <f t="shared" si="0"/>
        <v>-7.7099999999999991</v>
      </c>
      <c r="I3" t="s">
        <v>17</v>
      </c>
      <c r="J3" s="5">
        <f>J2+H3*0.5%</f>
        <v>0.87342500000000001</v>
      </c>
      <c r="K3">
        <v>0</v>
      </c>
    </row>
    <row r="4" spans="1:12" x14ac:dyDescent="0.25">
      <c r="A4" s="1">
        <v>2.0833333333333301E-2</v>
      </c>
      <c r="B4" s="2">
        <v>6</v>
      </c>
      <c r="D4">
        <v>7.0649999999999995</v>
      </c>
      <c r="E4" t="s">
        <v>20</v>
      </c>
      <c r="H4">
        <f t="shared" si="0"/>
        <v>-7.0649999999999995</v>
      </c>
      <c r="I4" t="s">
        <v>17</v>
      </c>
      <c r="J4" s="5">
        <f t="shared" ref="J4:J15" si="1">J3+H4*0.5%</f>
        <v>0.83810000000000007</v>
      </c>
      <c r="K4">
        <v>0</v>
      </c>
    </row>
    <row r="5" spans="1:12" x14ac:dyDescent="0.25">
      <c r="A5" s="1">
        <v>3.125E-2</v>
      </c>
      <c r="B5" s="2">
        <v>6</v>
      </c>
      <c r="D5">
        <v>8.2349999999999994</v>
      </c>
      <c r="E5" t="s">
        <v>20</v>
      </c>
      <c r="H5">
        <f t="shared" si="0"/>
        <v>-8.2349999999999994</v>
      </c>
      <c r="I5" t="s">
        <v>17</v>
      </c>
      <c r="J5" s="5">
        <f t="shared" si="1"/>
        <v>0.79692500000000011</v>
      </c>
      <c r="K5">
        <v>0</v>
      </c>
    </row>
    <row r="6" spans="1:12" x14ac:dyDescent="0.25">
      <c r="A6" s="1">
        <v>4.1666666666666699E-2</v>
      </c>
      <c r="B6" s="2">
        <v>6</v>
      </c>
      <c r="D6">
        <v>7.17</v>
      </c>
      <c r="E6" t="s">
        <v>20</v>
      </c>
      <c r="H6">
        <f t="shared" si="0"/>
        <v>-7.17</v>
      </c>
      <c r="I6" t="s">
        <v>17</v>
      </c>
      <c r="J6" s="5">
        <f t="shared" si="1"/>
        <v>0.76107500000000006</v>
      </c>
      <c r="K6">
        <v>0</v>
      </c>
    </row>
    <row r="7" spans="1:12" x14ac:dyDescent="0.25">
      <c r="A7" s="1">
        <v>5.2083333333333301E-2</v>
      </c>
      <c r="B7" s="2">
        <v>6</v>
      </c>
      <c r="D7">
        <v>7.4700000000000006</v>
      </c>
      <c r="E7" t="s">
        <v>21</v>
      </c>
      <c r="H7">
        <f t="shared" si="0"/>
        <v>-7.4700000000000006</v>
      </c>
      <c r="I7" t="s">
        <v>17</v>
      </c>
      <c r="J7" s="5">
        <f t="shared" si="1"/>
        <v>0.72372500000000006</v>
      </c>
      <c r="K7">
        <v>0</v>
      </c>
    </row>
    <row r="8" spans="1:12" x14ac:dyDescent="0.25">
      <c r="A8" s="1">
        <v>6.25E-2</v>
      </c>
      <c r="B8" s="2">
        <v>6</v>
      </c>
      <c r="D8">
        <v>7.875</v>
      </c>
      <c r="E8" t="s">
        <v>21</v>
      </c>
      <c r="H8">
        <f t="shared" si="0"/>
        <v>-7.875</v>
      </c>
      <c r="I8" t="s">
        <v>17</v>
      </c>
      <c r="J8" s="5">
        <f t="shared" si="1"/>
        <v>0.68435000000000001</v>
      </c>
      <c r="K8">
        <v>0</v>
      </c>
    </row>
    <row r="9" spans="1:12" x14ac:dyDescent="0.25">
      <c r="A9" s="1">
        <v>7.2916666666666699E-2</v>
      </c>
      <c r="B9" s="2">
        <v>6</v>
      </c>
      <c r="D9">
        <v>7.3349999999999991</v>
      </c>
      <c r="E9" t="s">
        <v>21</v>
      </c>
      <c r="H9">
        <f t="shared" si="0"/>
        <v>-7.3349999999999991</v>
      </c>
      <c r="I9" t="s">
        <v>17</v>
      </c>
      <c r="J9" s="5">
        <f t="shared" si="1"/>
        <v>0.647675</v>
      </c>
      <c r="K9">
        <v>0</v>
      </c>
    </row>
    <row r="10" spans="1:12" x14ac:dyDescent="0.25">
      <c r="A10" s="1">
        <v>8.3333333333333301E-2</v>
      </c>
      <c r="B10" s="2">
        <v>6</v>
      </c>
      <c r="D10">
        <v>7.3949999999999996</v>
      </c>
      <c r="E10" t="s">
        <v>21</v>
      </c>
      <c r="H10">
        <f t="shared" si="0"/>
        <v>-7.3949999999999996</v>
      </c>
      <c r="I10" t="s">
        <v>17</v>
      </c>
      <c r="J10" s="5">
        <f t="shared" si="1"/>
        <v>0.61070000000000002</v>
      </c>
      <c r="K10">
        <v>0</v>
      </c>
    </row>
    <row r="11" spans="1:12" x14ac:dyDescent="0.25">
      <c r="A11" s="1">
        <v>9.375E-2</v>
      </c>
      <c r="B11" s="2">
        <v>6</v>
      </c>
      <c r="D11">
        <v>7.4399999999999995</v>
      </c>
      <c r="E11" t="s">
        <v>21</v>
      </c>
      <c r="H11">
        <f t="shared" si="0"/>
        <v>-7.4399999999999995</v>
      </c>
      <c r="I11" t="s">
        <v>17</v>
      </c>
      <c r="J11" s="5">
        <f t="shared" si="1"/>
        <v>0.57350000000000001</v>
      </c>
      <c r="K11">
        <v>0</v>
      </c>
    </row>
    <row r="12" spans="1:12" x14ac:dyDescent="0.25">
      <c r="A12" s="1">
        <v>0.104166666666667</v>
      </c>
      <c r="B12" s="2">
        <v>6</v>
      </c>
      <c r="D12">
        <v>7.89</v>
      </c>
      <c r="E12" t="s">
        <v>21</v>
      </c>
      <c r="H12">
        <f t="shared" si="0"/>
        <v>-7.89</v>
      </c>
      <c r="I12" t="s">
        <v>17</v>
      </c>
      <c r="J12" s="5">
        <f t="shared" si="1"/>
        <v>0.53405000000000002</v>
      </c>
      <c r="K12">
        <v>0</v>
      </c>
    </row>
    <row r="13" spans="1:12" x14ac:dyDescent="0.25">
      <c r="A13" s="1">
        <v>0.114583333333333</v>
      </c>
      <c r="B13" s="2">
        <v>6</v>
      </c>
      <c r="D13">
        <v>8.43</v>
      </c>
      <c r="E13" t="s">
        <v>21</v>
      </c>
      <c r="H13">
        <f t="shared" si="0"/>
        <v>-8.43</v>
      </c>
      <c r="I13" t="s">
        <v>17</v>
      </c>
      <c r="J13" s="5">
        <f t="shared" si="1"/>
        <v>0.4919</v>
      </c>
      <c r="K13">
        <v>0</v>
      </c>
    </row>
    <row r="14" spans="1:12" x14ac:dyDescent="0.25">
      <c r="A14" s="1">
        <v>0.125</v>
      </c>
      <c r="B14" s="2">
        <v>6</v>
      </c>
      <c r="D14">
        <v>7.74</v>
      </c>
      <c r="E14" t="s">
        <v>21</v>
      </c>
      <c r="H14">
        <f t="shared" si="0"/>
        <v>-7.74</v>
      </c>
      <c r="I14" t="s">
        <v>17</v>
      </c>
      <c r="J14" s="5">
        <f t="shared" si="1"/>
        <v>0.45319999999999999</v>
      </c>
      <c r="K14">
        <v>0</v>
      </c>
    </row>
    <row r="15" spans="1:12" x14ac:dyDescent="0.25">
      <c r="A15" s="1">
        <v>0.13541666666666699</v>
      </c>
      <c r="B15" s="2">
        <v>6</v>
      </c>
      <c r="D15">
        <v>7.38</v>
      </c>
      <c r="E15" t="s">
        <v>21</v>
      </c>
      <c r="H15">
        <f t="shared" si="0"/>
        <v>-7.38</v>
      </c>
      <c r="I15" t="s">
        <v>17</v>
      </c>
      <c r="J15" s="5">
        <f t="shared" si="1"/>
        <v>0.4163</v>
      </c>
      <c r="K15">
        <v>0</v>
      </c>
    </row>
    <row r="16" spans="1:12" x14ac:dyDescent="0.25">
      <c r="A16" s="1">
        <v>0.14583333333333301</v>
      </c>
      <c r="B16" s="2">
        <v>6</v>
      </c>
      <c r="D16">
        <v>7.89</v>
      </c>
      <c r="E16" t="s">
        <v>21</v>
      </c>
      <c r="H16">
        <f t="shared" ref="H16:H17" si="2">K16-D16</f>
        <v>-7.89</v>
      </c>
      <c r="I16" t="s">
        <v>17</v>
      </c>
      <c r="J16" s="5">
        <f t="shared" ref="J16:J50" si="3">J15+H16*0.5%</f>
        <v>0.37685000000000002</v>
      </c>
      <c r="K16">
        <v>0</v>
      </c>
    </row>
    <row r="17" spans="1:12" x14ac:dyDescent="0.25">
      <c r="A17" s="1">
        <v>0.15625</v>
      </c>
      <c r="B17" s="2">
        <v>6</v>
      </c>
      <c r="D17">
        <v>7.5449999999999999</v>
      </c>
      <c r="E17" t="s">
        <v>21</v>
      </c>
      <c r="H17">
        <f t="shared" si="2"/>
        <v>-7.5449999999999999</v>
      </c>
      <c r="I17" t="s">
        <v>17</v>
      </c>
      <c r="J17" s="5">
        <f t="shared" si="3"/>
        <v>0.33912500000000001</v>
      </c>
      <c r="K17">
        <v>0</v>
      </c>
    </row>
    <row r="18" spans="1:12" x14ac:dyDescent="0.25">
      <c r="A18" s="1">
        <v>0.16666666666666699</v>
      </c>
      <c r="B18" s="2">
        <v>1</v>
      </c>
      <c r="D18">
        <v>7.7250000000000005</v>
      </c>
      <c r="E18" t="s">
        <v>21</v>
      </c>
      <c r="F18">
        <f t="shared" ref="F18:F41" si="4">D18</f>
        <v>7.7250000000000005</v>
      </c>
      <c r="G18" t="s">
        <v>15</v>
      </c>
      <c r="J18" s="5">
        <f t="shared" si="3"/>
        <v>0.33912500000000001</v>
      </c>
      <c r="K18">
        <v>0</v>
      </c>
    </row>
    <row r="19" spans="1:12" x14ac:dyDescent="0.25">
      <c r="A19" s="1">
        <v>0.17708333333333301</v>
      </c>
      <c r="B19" s="2">
        <v>1</v>
      </c>
      <c r="D19">
        <v>8.5950000000000006</v>
      </c>
      <c r="E19" t="s">
        <v>21</v>
      </c>
      <c r="F19">
        <f t="shared" si="4"/>
        <v>8.5950000000000006</v>
      </c>
      <c r="G19" t="s">
        <v>15</v>
      </c>
      <c r="J19" s="5">
        <f t="shared" si="3"/>
        <v>0.33912500000000001</v>
      </c>
      <c r="K19">
        <v>0</v>
      </c>
    </row>
    <row r="20" spans="1:12" x14ac:dyDescent="0.25">
      <c r="A20" s="1">
        <v>0.1875</v>
      </c>
      <c r="B20" s="2">
        <v>1</v>
      </c>
      <c r="D20">
        <v>8.43</v>
      </c>
      <c r="E20" t="s">
        <v>21</v>
      </c>
      <c r="F20">
        <f t="shared" si="4"/>
        <v>8.43</v>
      </c>
      <c r="G20" t="s">
        <v>15</v>
      </c>
      <c r="J20" s="5">
        <f t="shared" si="3"/>
        <v>0.33912500000000001</v>
      </c>
      <c r="K20">
        <v>0</v>
      </c>
    </row>
    <row r="21" spans="1:12" x14ac:dyDescent="0.25">
      <c r="A21" s="1">
        <v>0.19791666666666699</v>
      </c>
      <c r="B21" s="2">
        <v>1</v>
      </c>
      <c r="D21">
        <v>9.18</v>
      </c>
      <c r="E21" t="s">
        <v>21</v>
      </c>
      <c r="F21">
        <f t="shared" si="4"/>
        <v>9.18</v>
      </c>
      <c r="G21" t="s">
        <v>15</v>
      </c>
      <c r="J21" s="5">
        <f t="shared" si="3"/>
        <v>0.33912500000000001</v>
      </c>
      <c r="K21">
        <v>0</v>
      </c>
    </row>
    <row r="22" spans="1:12" x14ac:dyDescent="0.25">
      <c r="A22" s="1">
        <v>0.20833333333333301</v>
      </c>
      <c r="B22" s="2">
        <v>1</v>
      </c>
      <c r="D22">
        <v>9.3149999999999995</v>
      </c>
      <c r="E22" t="s">
        <v>21</v>
      </c>
      <c r="F22">
        <f t="shared" si="4"/>
        <v>9.3149999999999995</v>
      </c>
      <c r="G22" t="s">
        <v>15</v>
      </c>
      <c r="J22" s="5">
        <f t="shared" si="3"/>
        <v>0.33912500000000001</v>
      </c>
      <c r="K22">
        <v>0</v>
      </c>
    </row>
    <row r="23" spans="1:12" x14ac:dyDescent="0.25">
      <c r="A23" s="1">
        <v>0.21875</v>
      </c>
      <c r="B23" s="2">
        <v>1</v>
      </c>
      <c r="C23" s="2">
        <v>3</v>
      </c>
      <c r="D23">
        <v>12</v>
      </c>
      <c r="E23" t="s">
        <v>22</v>
      </c>
      <c r="F23">
        <f t="shared" si="4"/>
        <v>12</v>
      </c>
      <c r="G23" t="s">
        <v>15</v>
      </c>
      <c r="J23" s="5">
        <f t="shared" si="3"/>
        <v>0.33912500000000001</v>
      </c>
      <c r="K23">
        <v>0.3</v>
      </c>
      <c r="L23" t="s">
        <v>30</v>
      </c>
    </row>
    <row r="24" spans="1:12" x14ac:dyDescent="0.25">
      <c r="A24" s="1">
        <v>0.22916666666666699</v>
      </c>
      <c r="B24" s="2">
        <v>1</v>
      </c>
      <c r="C24" s="2">
        <v>3</v>
      </c>
      <c r="D24">
        <v>14.64</v>
      </c>
      <c r="E24" t="s">
        <v>22</v>
      </c>
      <c r="F24">
        <f t="shared" si="4"/>
        <v>14.64</v>
      </c>
      <c r="G24" t="s">
        <v>15</v>
      </c>
      <c r="J24" s="5">
        <f t="shared" si="3"/>
        <v>0.33912500000000001</v>
      </c>
      <c r="K24">
        <v>0.45</v>
      </c>
      <c r="L24" t="s">
        <v>30</v>
      </c>
    </row>
    <row r="25" spans="1:12" x14ac:dyDescent="0.25">
      <c r="A25" s="1">
        <v>0.23958333333333301</v>
      </c>
      <c r="B25" s="2">
        <v>1</v>
      </c>
      <c r="C25" s="2">
        <v>3</v>
      </c>
      <c r="D25">
        <v>16.23</v>
      </c>
      <c r="E25" t="s">
        <v>22</v>
      </c>
      <c r="F25">
        <f t="shared" si="4"/>
        <v>16.23</v>
      </c>
      <c r="G25" t="s">
        <v>15</v>
      </c>
      <c r="J25" s="5">
        <f t="shared" si="3"/>
        <v>0.33912500000000001</v>
      </c>
      <c r="K25">
        <v>0.75</v>
      </c>
      <c r="L25" t="s">
        <v>30</v>
      </c>
    </row>
    <row r="26" spans="1:12" x14ac:dyDescent="0.25">
      <c r="A26" s="1">
        <v>0.25</v>
      </c>
      <c r="B26" s="2">
        <v>1</v>
      </c>
      <c r="C26" s="2">
        <v>3</v>
      </c>
      <c r="D26">
        <v>19.049999999999997</v>
      </c>
      <c r="E26" t="s">
        <v>22</v>
      </c>
      <c r="F26">
        <f t="shared" si="4"/>
        <v>19.049999999999997</v>
      </c>
      <c r="G26" t="s">
        <v>15</v>
      </c>
      <c r="J26" s="5">
        <f t="shared" si="3"/>
        <v>0.33912500000000001</v>
      </c>
      <c r="K26">
        <v>1.2</v>
      </c>
      <c r="L26" t="s">
        <v>30</v>
      </c>
    </row>
    <row r="27" spans="1:12" x14ac:dyDescent="0.25">
      <c r="A27" s="1">
        <v>0.26041666666666702</v>
      </c>
      <c r="B27" s="2">
        <v>1</v>
      </c>
      <c r="C27" s="2">
        <v>3</v>
      </c>
      <c r="D27">
        <v>23.234999999999999</v>
      </c>
      <c r="E27" t="s">
        <v>22</v>
      </c>
      <c r="F27">
        <f t="shared" si="4"/>
        <v>23.234999999999999</v>
      </c>
      <c r="G27" t="s">
        <v>15</v>
      </c>
      <c r="J27" s="5">
        <f t="shared" si="3"/>
        <v>0.33912500000000001</v>
      </c>
      <c r="K27">
        <v>3.15</v>
      </c>
      <c r="L27" t="s">
        <v>30</v>
      </c>
    </row>
    <row r="28" spans="1:12" x14ac:dyDescent="0.25">
      <c r="A28" s="1">
        <v>0.27083333333333298</v>
      </c>
      <c r="B28" s="2">
        <v>1</v>
      </c>
      <c r="C28" s="2">
        <v>3</v>
      </c>
      <c r="D28">
        <v>26.895</v>
      </c>
      <c r="E28" t="s">
        <v>22</v>
      </c>
      <c r="F28">
        <f t="shared" si="4"/>
        <v>26.895</v>
      </c>
      <c r="G28" t="s">
        <v>15</v>
      </c>
      <c r="J28" s="5">
        <f t="shared" si="3"/>
        <v>0.33912500000000001</v>
      </c>
      <c r="K28">
        <v>5.25</v>
      </c>
      <c r="L28" t="s">
        <v>30</v>
      </c>
    </row>
    <row r="29" spans="1:12" x14ac:dyDescent="0.25">
      <c r="A29" s="1">
        <v>0.28125</v>
      </c>
      <c r="B29" s="2">
        <v>1</v>
      </c>
      <c r="C29" s="2">
        <v>3</v>
      </c>
      <c r="D29">
        <v>30.224999999999998</v>
      </c>
      <c r="E29" t="s">
        <v>22</v>
      </c>
      <c r="F29">
        <f t="shared" si="4"/>
        <v>30.224999999999998</v>
      </c>
      <c r="G29" t="s">
        <v>15</v>
      </c>
      <c r="J29" s="5">
        <f t="shared" si="3"/>
        <v>0.33912500000000001</v>
      </c>
      <c r="K29">
        <v>7.35</v>
      </c>
      <c r="L29" t="s">
        <v>30</v>
      </c>
    </row>
    <row r="30" spans="1:12" x14ac:dyDescent="0.25">
      <c r="A30" s="1">
        <v>0.29166666666666702</v>
      </c>
      <c r="B30" s="2">
        <v>1</v>
      </c>
      <c r="C30" s="2">
        <v>3</v>
      </c>
      <c r="D30">
        <v>33.839999999999996</v>
      </c>
      <c r="E30" t="s">
        <v>22</v>
      </c>
      <c r="F30">
        <f t="shared" si="4"/>
        <v>33.839999999999996</v>
      </c>
      <c r="G30" t="s">
        <v>15</v>
      </c>
      <c r="J30" s="5">
        <f t="shared" si="3"/>
        <v>0.33912500000000001</v>
      </c>
      <c r="K30">
        <v>10.35</v>
      </c>
      <c r="L30" t="s">
        <v>30</v>
      </c>
    </row>
    <row r="31" spans="1:12" x14ac:dyDescent="0.25">
      <c r="A31" s="1">
        <v>0.30208333333333298</v>
      </c>
      <c r="B31" s="2">
        <v>1</v>
      </c>
      <c r="C31" s="2">
        <v>3</v>
      </c>
      <c r="D31">
        <v>39.765000000000001</v>
      </c>
      <c r="E31" t="s">
        <v>22</v>
      </c>
      <c r="F31">
        <f t="shared" si="4"/>
        <v>39.765000000000001</v>
      </c>
      <c r="G31" t="s">
        <v>15</v>
      </c>
      <c r="J31" s="5">
        <f t="shared" si="3"/>
        <v>0.33912500000000001</v>
      </c>
      <c r="K31">
        <v>13.05</v>
      </c>
      <c r="L31" t="s">
        <v>30</v>
      </c>
    </row>
    <row r="32" spans="1:12" x14ac:dyDescent="0.25">
      <c r="A32" s="1">
        <v>0.3125</v>
      </c>
      <c r="B32" s="2">
        <v>1</v>
      </c>
      <c r="C32" s="2">
        <v>3</v>
      </c>
      <c r="D32">
        <v>43.68</v>
      </c>
      <c r="E32" t="s">
        <v>22</v>
      </c>
      <c r="F32">
        <f t="shared" si="4"/>
        <v>43.68</v>
      </c>
      <c r="G32" t="s">
        <v>15</v>
      </c>
      <c r="J32" s="5">
        <f t="shared" si="3"/>
        <v>0.33912500000000001</v>
      </c>
      <c r="K32">
        <v>16.8</v>
      </c>
      <c r="L32" t="s">
        <v>30</v>
      </c>
    </row>
    <row r="33" spans="1:12" x14ac:dyDescent="0.25">
      <c r="A33" s="1">
        <v>0.32291666666666702</v>
      </c>
      <c r="B33" s="2">
        <v>1</v>
      </c>
      <c r="C33" s="2">
        <v>3</v>
      </c>
      <c r="D33">
        <v>52.605000000000004</v>
      </c>
      <c r="E33" t="s">
        <v>22</v>
      </c>
      <c r="F33">
        <f t="shared" si="4"/>
        <v>52.605000000000004</v>
      </c>
      <c r="G33" t="s">
        <v>15</v>
      </c>
      <c r="J33" s="5">
        <f t="shared" si="3"/>
        <v>0.33912500000000001</v>
      </c>
      <c r="K33">
        <v>23.25</v>
      </c>
      <c r="L33" t="s">
        <v>30</v>
      </c>
    </row>
    <row r="34" spans="1:12" x14ac:dyDescent="0.25">
      <c r="A34" s="1">
        <v>0.33333333333333298</v>
      </c>
      <c r="B34" s="2">
        <v>1</v>
      </c>
      <c r="C34" s="2">
        <v>3</v>
      </c>
      <c r="D34">
        <v>47.325000000000003</v>
      </c>
      <c r="E34" t="s">
        <v>22</v>
      </c>
      <c r="F34">
        <f t="shared" si="4"/>
        <v>47.325000000000003</v>
      </c>
      <c r="G34" t="s">
        <v>15</v>
      </c>
      <c r="J34" s="5">
        <f t="shared" si="3"/>
        <v>0.33912500000000001</v>
      </c>
      <c r="K34">
        <v>25.35</v>
      </c>
      <c r="L34" t="s">
        <v>30</v>
      </c>
    </row>
    <row r="35" spans="1:12" x14ac:dyDescent="0.25">
      <c r="A35" s="1">
        <v>0.34375</v>
      </c>
      <c r="B35" s="2">
        <v>1</v>
      </c>
      <c r="C35" s="2">
        <v>3</v>
      </c>
      <c r="D35">
        <v>55.44</v>
      </c>
      <c r="E35" t="s">
        <v>22</v>
      </c>
      <c r="F35">
        <f t="shared" si="4"/>
        <v>55.44</v>
      </c>
      <c r="G35" t="s">
        <v>15</v>
      </c>
      <c r="J35" s="5">
        <f t="shared" si="3"/>
        <v>0.33912500000000001</v>
      </c>
      <c r="K35">
        <v>31.05</v>
      </c>
      <c r="L35" t="s">
        <v>30</v>
      </c>
    </row>
    <row r="36" spans="1:12" x14ac:dyDescent="0.25">
      <c r="A36" s="1">
        <v>0.35416666666666702</v>
      </c>
      <c r="B36" s="2">
        <v>1</v>
      </c>
      <c r="C36" s="2">
        <v>3</v>
      </c>
      <c r="D36">
        <v>58.800000000000004</v>
      </c>
      <c r="E36" t="s">
        <v>22</v>
      </c>
      <c r="F36">
        <f t="shared" si="4"/>
        <v>58.800000000000004</v>
      </c>
      <c r="G36" t="s">
        <v>15</v>
      </c>
      <c r="J36" s="5">
        <f t="shared" si="3"/>
        <v>0.33912500000000001</v>
      </c>
      <c r="K36">
        <v>34.950000000000003</v>
      </c>
      <c r="L36" t="s">
        <v>30</v>
      </c>
    </row>
    <row r="37" spans="1:12" x14ac:dyDescent="0.25">
      <c r="A37" s="1">
        <v>0.36458333333333298</v>
      </c>
      <c r="B37" s="2">
        <v>1</v>
      </c>
      <c r="C37" s="2">
        <v>3</v>
      </c>
      <c r="D37">
        <v>64.004999999999995</v>
      </c>
      <c r="E37" t="s">
        <v>22</v>
      </c>
      <c r="F37">
        <f t="shared" si="4"/>
        <v>64.004999999999995</v>
      </c>
      <c r="G37" t="s">
        <v>15</v>
      </c>
      <c r="J37" s="5">
        <f t="shared" si="3"/>
        <v>0.33912500000000001</v>
      </c>
      <c r="K37">
        <v>44.25</v>
      </c>
      <c r="L37" t="s">
        <v>30</v>
      </c>
    </row>
    <row r="38" spans="1:12" x14ac:dyDescent="0.25">
      <c r="A38" s="1">
        <v>0.375</v>
      </c>
      <c r="B38" s="2">
        <v>1</v>
      </c>
      <c r="C38" s="2">
        <v>3</v>
      </c>
      <c r="D38">
        <v>64.739999999999995</v>
      </c>
      <c r="E38" t="s">
        <v>22</v>
      </c>
      <c r="F38">
        <f t="shared" si="4"/>
        <v>64.739999999999995</v>
      </c>
      <c r="G38" t="s">
        <v>15</v>
      </c>
      <c r="J38" s="5">
        <f t="shared" si="3"/>
        <v>0.33912500000000001</v>
      </c>
      <c r="K38">
        <v>48.6</v>
      </c>
      <c r="L38" t="s">
        <v>30</v>
      </c>
    </row>
    <row r="39" spans="1:12" x14ac:dyDescent="0.25">
      <c r="A39" s="1">
        <v>0.38541666666666702</v>
      </c>
      <c r="B39" s="2">
        <v>1</v>
      </c>
      <c r="C39" s="2">
        <v>3</v>
      </c>
      <c r="D39">
        <v>62.655000000000001</v>
      </c>
      <c r="E39" t="s">
        <v>22</v>
      </c>
      <c r="F39">
        <f t="shared" si="4"/>
        <v>62.655000000000001</v>
      </c>
      <c r="G39" t="s">
        <v>15</v>
      </c>
      <c r="J39" s="5">
        <f t="shared" si="3"/>
        <v>0.33912500000000001</v>
      </c>
      <c r="K39">
        <v>53.55</v>
      </c>
      <c r="L39" t="s">
        <v>30</v>
      </c>
    </row>
    <row r="40" spans="1:12" x14ac:dyDescent="0.25">
      <c r="A40" s="1">
        <v>0.39583333333333298</v>
      </c>
      <c r="B40" s="2">
        <v>1</v>
      </c>
      <c r="C40" s="2">
        <v>3</v>
      </c>
      <c r="D40">
        <v>66.224999999999994</v>
      </c>
      <c r="E40" t="s">
        <v>22</v>
      </c>
      <c r="F40">
        <f t="shared" si="4"/>
        <v>66.224999999999994</v>
      </c>
      <c r="G40" t="s">
        <v>15</v>
      </c>
      <c r="J40" s="5">
        <f t="shared" si="3"/>
        <v>0.33912500000000001</v>
      </c>
      <c r="K40">
        <v>57.9</v>
      </c>
      <c r="L40" t="s">
        <v>30</v>
      </c>
    </row>
    <row r="41" spans="1:12" x14ac:dyDescent="0.25">
      <c r="A41" s="1">
        <v>0.40625</v>
      </c>
      <c r="B41" s="2">
        <v>1</v>
      </c>
      <c r="C41" s="2">
        <v>3</v>
      </c>
      <c r="D41">
        <v>69.074999999999989</v>
      </c>
      <c r="E41" t="s">
        <v>22</v>
      </c>
      <c r="F41">
        <f t="shared" si="4"/>
        <v>69.074999999999989</v>
      </c>
      <c r="G41" t="s">
        <v>15</v>
      </c>
      <c r="J41" s="5">
        <f t="shared" si="3"/>
        <v>0.33912500000000001</v>
      </c>
      <c r="K41">
        <v>66.3</v>
      </c>
      <c r="L41" t="s">
        <v>30</v>
      </c>
    </row>
    <row r="42" spans="1:12" x14ac:dyDescent="0.25">
      <c r="A42" s="1">
        <v>0.41666666666666702</v>
      </c>
      <c r="B42" s="2">
        <v>3</v>
      </c>
      <c r="C42" s="2">
        <v>4</v>
      </c>
      <c r="D42">
        <v>68.114999999999995</v>
      </c>
      <c r="E42" t="s">
        <v>23</v>
      </c>
      <c r="F42">
        <f>D42-K42</f>
        <v>-6.7349999999999994</v>
      </c>
      <c r="G42" s="1" t="s">
        <v>10</v>
      </c>
      <c r="J42" s="5">
        <f t="shared" si="3"/>
        <v>0.33912500000000001</v>
      </c>
      <c r="K42">
        <v>74.849999999999994</v>
      </c>
      <c r="L42" t="s">
        <v>30</v>
      </c>
    </row>
    <row r="43" spans="1:12" x14ac:dyDescent="0.25">
      <c r="A43" s="1">
        <v>0.42708333333333298</v>
      </c>
      <c r="B43" s="2">
        <v>3</v>
      </c>
      <c r="C43" s="2">
        <v>4</v>
      </c>
      <c r="D43">
        <v>71.820000000000007</v>
      </c>
      <c r="E43" t="s">
        <v>23</v>
      </c>
      <c r="F43">
        <f t="shared" ref="F43:F50" si="5">D43-K43</f>
        <v>-0.17999999999999261</v>
      </c>
      <c r="G43" s="1" t="s">
        <v>10</v>
      </c>
      <c r="J43" s="5">
        <f t="shared" si="3"/>
        <v>0.33912500000000001</v>
      </c>
      <c r="K43">
        <v>72</v>
      </c>
      <c r="L43" t="s">
        <v>30</v>
      </c>
    </row>
    <row r="44" spans="1:12" x14ac:dyDescent="0.25">
      <c r="A44" s="1">
        <v>0.4375</v>
      </c>
      <c r="B44" s="2">
        <v>3</v>
      </c>
      <c r="C44" s="2">
        <v>4</v>
      </c>
      <c r="D44">
        <v>65.099999999999994</v>
      </c>
      <c r="E44" t="s">
        <v>23</v>
      </c>
      <c r="F44">
        <f t="shared" si="5"/>
        <v>-24.450000000000003</v>
      </c>
      <c r="G44" s="1" t="s">
        <v>10</v>
      </c>
      <c r="J44" s="5">
        <f t="shared" si="3"/>
        <v>0.33912500000000001</v>
      </c>
      <c r="K44">
        <v>89.55</v>
      </c>
      <c r="L44" t="s">
        <v>30</v>
      </c>
    </row>
    <row r="45" spans="1:12" x14ac:dyDescent="0.25">
      <c r="A45" s="1">
        <v>0.44791666666666702</v>
      </c>
      <c r="B45" s="2">
        <v>3</v>
      </c>
      <c r="C45" s="2">
        <v>4</v>
      </c>
      <c r="D45">
        <v>75.974999999999994</v>
      </c>
      <c r="E45" t="s">
        <v>23</v>
      </c>
      <c r="F45">
        <f t="shared" si="5"/>
        <v>-20.625</v>
      </c>
      <c r="G45" s="1" t="s">
        <v>10</v>
      </c>
      <c r="J45" s="5">
        <f t="shared" si="3"/>
        <v>0.33912500000000001</v>
      </c>
      <c r="K45">
        <v>96.6</v>
      </c>
      <c r="L45" t="s">
        <v>30</v>
      </c>
    </row>
    <row r="46" spans="1:12" x14ac:dyDescent="0.25">
      <c r="A46" s="1">
        <v>0.45833333333333298</v>
      </c>
      <c r="B46" s="2">
        <v>3</v>
      </c>
      <c r="C46" s="2">
        <v>4</v>
      </c>
      <c r="D46">
        <v>75.960000000000008</v>
      </c>
      <c r="E46" t="s">
        <v>23</v>
      </c>
      <c r="F46">
        <f t="shared" si="5"/>
        <v>-8.6399999999999864</v>
      </c>
      <c r="G46" s="1" t="s">
        <v>10</v>
      </c>
      <c r="J46" s="5">
        <f t="shared" si="3"/>
        <v>0.33912500000000001</v>
      </c>
      <c r="K46">
        <v>84.6</v>
      </c>
      <c r="L46" t="s">
        <v>30</v>
      </c>
    </row>
    <row r="47" spans="1:12" x14ac:dyDescent="0.25">
      <c r="A47" s="1">
        <v>0.46875</v>
      </c>
      <c r="B47" s="2">
        <v>3</v>
      </c>
      <c r="C47" s="2">
        <v>4</v>
      </c>
      <c r="D47">
        <v>70.784999999999997</v>
      </c>
      <c r="E47" t="s">
        <v>23</v>
      </c>
      <c r="F47">
        <f t="shared" si="5"/>
        <v>-35.564999999999998</v>
      </c>
      <c r="G47" s="1" t="s">
        <v>10</v>
      </c>
      <c r="J47" s="5">
        <f t="shared" si="3"/>
        <v>0.33912500000000001</v>
      </c>
      <c r="K47">
        <v>106.35</v>
      </c>
      <c r="L47" t="s">
        <v>30</v>
      </c>
    </row>
    <row r="48" spans="1:12" x14ac:dyDescent="0.25">
      <c r="A48" s="1">
        <v>0.47916666666666702</v>
      </c>
      <c r="B48" s="2">
        <v>3</v>
      </c>
      <c r="C48" s="2">
        <v>4</v>
      </c>
      <c r="D48">
        <v>73.5</v>
      </c>
      <c r="E48" t="s">
        <v>23</v>
      </c>
      <c r="F48">
        <f t="shared" si="5"/>
        <v>-45.150000000000006</v>
      </c>
      <c r="G48" s="1" t="s">
        <v>10</v>
      </c>
      <c r="J48" s="5">
        <f t="shared" si="3"/>
        <v>0.33912500000000001</v>
      </c>
      <c r="K48">
        <v>118.65</v>
      </c>
      <c r="L48" t="s">
        <v>30</v>
      </c>
    </row>
    <row r="49" spans="1:12" x14ac:dyDescent="0.25">
      <c r="A49" s="1">
        <v>0.48958333333333298</v>
      </c>
      <c r="B49" s="2">
        <v>3</v>
      </c>
      <c r="C49" s="2">
        <v>4</v>
      </c>
      <c r="D49">
        <v>71.88</v>
      </c>
      <c r="E49" t="s">
        <v>23</v>
      </c>
      <c r="F49">
        <f t="shared" si="5"/>
        <v>-46.320000000000007</v>
      </c>
      <c r="G49" s="1" t="s">
        <v>10</v>
      </c>
      <c r="J49" s="5">
        <f t="shared" si="3"/>
        <v>0.33912500000000001</v>
      </c>
      <c r="K49">
        <v>118.2</v>
      </c>
      <c r="L49" t="s">
        <v>30</v>
      </c>
    </row>
    <row r="50" spans="1:12" x14ac:dyDescent="0.25">
      <c r="A50" s="1">
        <v>0.5</v>
      </c>
      <c r="B50" s="2">
        <v>3</v>
      </c>
      <c r="C50" s="2">
        <v>4</v>
      </c>
      <c r="D50">
        <v>69.36</v>
      </c>
      <c r="E50" t="s">
        <v>23</v>
      </c>
      <c r="F50">
        <f t="shared" si="5"/>
        <v>-58.739999999999995</v>
      </c>
      <c r="G50" s="1" t="s">
        <v>10</v>
      </c>
      <c r="J50" s="5">
        <f t="shared" si="3"/>
        <v>0.33912500000000001</v>
      </c>
      <c r="K50">
        <v>128.1</v>
      </c>
      <c r="L50" t="s">
        <v>30</v>
      </c>
    </row>
    <row r="51" spans="1:12" x14ac:dyDescent="0.25">
      <c r="A51" s="1">
        <v>0.51041666666666696</v>
      </c>
      <c r="B51" s="2">
        <v>3</v>
      </c>
      <c r="C51" s="2">
        <v>5</v>
      </c>
      <c r="D51">
        <v>71.655000000000001</v>
      </c>
      <c r="E51" t="s">
        <v>23</v>
      </c>
      <c r="F51">
        <f t="shared" ref="F51:F54" si="6">D51-K51+H51</f>
        <v>0</v>
      </c>
      <c r="G51" s="1"/>
      <c r="H51">
        <f>K51-D51</f>
        <v>58.245000000000005</v>
      </c>
      <c r="I51" t="s">
        <v>16</v>
      </c>
      <c r="J51" s="5">
        <f>J50+H51*0.25%</f>
        <v>0.48473750000000004</v>
      </c>
      <c r="K51">
        <v>129.9</v>
      </c>
      <c r="L51" t="s">
        <v>30</v>
      </c>
    </row>
    <row r="52" spans="1:12" x14ac:dyDescent="0.25">
      <c r="A52" s="1">
        <v>0.52083333333333304</v>
      </c>
      <c r="B52" s="2">
        <v>3</v>
      </c>
      <c r="C52" s="2">
        <v>5</v>
      </c>
      <c r="D52">
        <v>73.905000000000001</v>
      </c>
      <c r="E52" t="s">
        <v>23</v>
      </c>
      <c r="F52">
        <f t="shared" si="6"/>
        <v>0</v>
      </c>
      <c r="G52" s="1"/>
      <c r="H52">
        <f t="shared" ref="H52:H54" si="7">K52-D52</f>
        <v>44.295000000000002</v>
      </c>
      <c r="I52" t="s">
        <v>16</v>
      </c>
      <c r="J52" s="5">
        <f t="shared" ref="J52:J97" si="8">J51+H52*0.25%</f>
        <v>0.59547500000000009</v>
      </c>
      <c r="K52">
        <v>118.2</v>
      </c>
      <c r="L52" t="s">
        <v>30</v>
      </c>
    </row>
    <row r="53" spans="1:12" x14ac:dyDescent="0.25">
      <c r="A53" s="1">
        <v>0.53125</v>
      </c>
      <c r="B53" s="2">
        <v>3</v>
      </c>
      <c r="C53" s="2">
        <v>5</v>
      </c>
      <c r="D53">
        <v>69.63</v>
      </c>
      <c r="E53" t="s">
        <v>23</v>
      </c>
      <c r="F53">
        <f t="shared" si="6"/>
        <v>0</v>
      </c>
      <c r="G53" s="1"/>
      <c r="H53">
        <f t="shared" si="7"/>
        <v>46.92</v>
      </c>
      <c r="I53" t="s">
        <v>16</v>
      </c>
      <c r="J53" s="5">
        <f t="shared" si="8"/>
        <v>0.71277500000000005</v>
      </c>
      <c r="K53">
        <v>116.55</v>
      </c>
      <c r="L53" t="s">
        <v>30</v>
      </c>
    </row>
    <row r="54" spans="1:12" x14ac:dyDescent="0.25">
      <c r="A54" s="1">
        <v>0.54166666666666696</v>
      </c>
      <c r="B54" s="2">
        <v>3</v>
      </c>
      <c r="C54" s="2">
        <v>5</v>
      </c>
      <c r="D54">
        <v>69.314999999999998</v>
      </c>
      <c r="E54" t="s">
        <v>23</v>
      </c>
      <c r="F54">
        <f t="shared" si="6"/>
        <v>0</v>
      </c>
      <c r="G54" s="1"/>
      <c r="H54">
        <f t="shared" si="7"/>
        <v>58.185000000000002</v>
      </c>
      <c r="I54" t="s">
        <v>16</v>
      </c>
      <c r="J54" s="5">
        <f t="shared" si="8"/>
        <v>0.8582375000000001</v>
      </c>
      <c r="K54">
        <v>127.5</v>
      </c>
      <c r="L54" t="s">
        <v>30</v>
      </c>
    </row>
    <row r="55" spans="1:12" x14ac:dyDescent="0.25">
      <c r="A55" s="1">
        <v>0.55208333333333304</v>
      </c>
      <c r="B55" s="2">
        <v>3</v>
      </c>
      <c r="C55" s="2">
        <v>5</v>
      </c>
      <c r="D55">
        <v>69.465000000000003</v>
      </c>
      <c r="E55" t="s">
        <v>23</v>
      </c>
      <c r="F55">
        <f t="shared" ref="F55" si="9">D55-K55+H55</f>
        <v>0</v>
      </c>
      <c r="G55" s="1"/>
      <c r="H55">
        <f t="shared" ref="H55" si="10">K55-D55</f>
        <v>56.234999999999999</v>
      </c>
      <c r="I55" t="s">
        <v>16</v>
      </c>
      <c r="J55" s="5">
        <v>0.96</v>
      </c>
      <c r="K55">
        <v>125.7</v>
      </c>
      <c r="L55" t="s">
        <v>30</v>
      </c>
    </row>
    <row r="56" spans="1:12" x14ac:dyDescent="0.25">
      <c r="A56" s="1">
        <v>0.5625</v>
      </c>
      <c r="B56" s="2">
        <v>3</v>
      </c>
      <c r="C56" s="2">
        <v>4</v>
      </c>
      <c r="D56">
        <v>70.185000000000002</v>
      </c>
      <c r="E56" t="s">
        <v>23</v>
      </c>
      <c r="F56">
        <f t="shared" ref="F56" si="11">D56-K56</f>
        <v>-43.965000000000003</v>
      </c>
      <c r="G56" s="1" t="s">
        <v>10</v>
      </c>
      <c r="J56" s="5">
        <f t="shared" si="8"/>
        <v>0.96</v>
      </c>
      <c r="K56">
        <v>114.15</v>
      </c>
      <c r="L56" t="s">
        <v>30</v>
      </c>
    </row>
    <row r="57" spans="1:12" x14ac:dyDescent="0.25">
      <c r="A57" s="1">
        <v>0.57291666666666696</v>
      </c>
      <c r="B57" s="2">
        <v>3</v>
      </c>
      <c r="C57" s="2">
        <v>4</v>
      </c>
      <c r="D57">
        <v>71.789999999999992</v>
      </c>
      <c r="E57" t="s">
        <v>23</v>
      </c>
      <c r="F57">
        <f t="shared" ref="F57:F58" si="12">D57-K57</f>
        <v>-47.610000000000014</v>
      </c>
      <c r="G57" s="1" t="s">
        <v>10</v>
      </c>
      <c r="J57" s="5">
        <f t="shared" si="8"/>
        <v>0.96</v>
      </c>
      <c r="K57">
        <v>119.4</v>
      </c>
      <c r="L57" t="s">
        <v>30</v>
      </c>
    </row>
    <row r="58" spans="1:12" x14ac:dyDescent="0.25">
      <c r="A58" s="1">
        <v>0.58333333333333304</v>
      </c>
      <c r="B58" s="2">
        <v>3</v>
      </c>
      <c r="C58" s="2">
        <v>4</v>
      </c>
      <c r="D58">
        <v>65.894999999999996</v>
      </c>
      <c r="E58" t="s">
        <v>23</v>
      </c>
      <c r="F58">
        <f t="shared" si="12"/>
        <v>-53.805000000000007</v>
      </c>
      <c r="G58" s="1" t="s">
        <v>10</v>
      </c>
      <c r="J58" s="5">
        <f t="shared" si="8"/>
        <v>0.96</v>
      </c>
      <c r="K58">
        <v>119.7</v>
      </c>
      <c r="L58" t="s">
        <v>30</v>
      </c>
    </row>
    <row r="59" spans="1:12" x14ac:dyDescent="0.25">
      <c r="A59" s="1">
        <v>0.59375</v>
      </c>
      <c r="B59" s="2">
        <v>3</v>
      </c>
      <c r="C59" s="2">
        <v>4</v>
      </c>
      <c r="D59">
        <v>68.28</v>
      </c>
      <c r="E59" t="s">
        <v>23</v>
      </c>
      <c r="F59">
        <f t="shared" ref="F59" si="13">D59-K59</f>
        <v>-46.17</v>
      </c>
      <c r="G59" s="1" t="s">
        <v>10</v>
      </c>
      <c r="J59" s="5">
        <f t="shared" si="8"/>
        <v>0.96</v>
      </c>
      <c r="K59">
        <v>114.45</v>
      </c>
      <c r="L59" t="s">
        <v>30</v>
      </c>
    </row>
    <row r="60" spans="1:12" x14ac:dyDescent="0.25">
      <c r="A60" s="1">
        <v>0.60416666666666696</v>
      </c>
      <c r="B60" s="2">
        <v>3</v>
      </c>
      <c r="C60" s="2">
        <v>4</v>
      </c>
      <c r="D60">
        <v>66.795000000000002</v>
      </c>
      <c r="E60" t="s">
        <v>23</v>
      </c>
      <c r="F60">
        <f t="shared" ref="F60:F67" si="14">D60-K60</f>
        <v>-44.504999999999995</v>
      </c>
      <c r="G60" s="1" t="s">
        <v>10</v>
      </c>
      <c r="J60" s="5">
        <f t="shared" si="8"/>
        <v>0.96</v>
      </c>
      <c r="K60">
        <v>111.3</v>
      </c>
      <c r="L60" t="s">
        <v>30</v>
      </c>
    </row>
    <row r="61" spans="1:12" x14ac:dyDescent="0.25">
      <c r="A61" s="1">
        <v>0.61458333333333304</v>
      </c>
      <c r="B61" s="2">
        <v>3</v>
      </c>
      <c r="C61" s="2">
        <v>4</v>
      </c>
      <c r="D61">
        <v>60.66</v>
      </c>
      <c r="E61" t="s">
        <v>23</v>
      </c>
      <c r="F61">
        <f t="shared" si="14"/>
        <v>-34.14</v>
      </c>
      <c r="G61" s="1" t="s">
        <v>10</v>
      </c>
      <c r="J61" s="5">
        <f t="shared" si="8"/>
        <v>0.96</v>
      </c>
      <c r="K61">
        <v>94.8</v>
      </c>
      <c r="L61" t="s">
        <v>30</v>
      </c>
    </row>
    <row r="62" spans="1:12" x14ac:dyDescent="0.25">
      <c r="A62" s="1">
        <v>0.625</v>
      </c>
      <c r="B62" s="2">
        <v>3</v>
      </c>
      <c r="C62" s="2">
        <v>4</v>
      </c>
      <c r="D62">
        <v>63.765000000000001</v>
      </c>
      <c r="E62" t="s">
        <v>23</v>
      </c>
      <c r="F62">
        <f t="shared" si="14"/>
        <v>-26.234999999999999</v>
      </c>
      <c r="G62" s="1" t="s">
        <v>10</v>
      </c>
      <c r="J62" s="5">
        <f t="shared" si="8"/>
        <v>0.96</v>
      </c>
      <c r="K62">
        <v>90</v>
      </c>
      <c r="L62" t="s">
        <v>30</v>
      </c>
    </row>
    <row r="63" spans="1:12" x14ac:dyDescent="0.25">
      <c r="A63" s="1">
        <v>0.63541666666666696</v>
      </c>
      <c r="B63" s="2">
        <v>3</v>
      </c>
      <c r="C63" s="2">
        <v>4</v>
      </c>
      <c r="D63">
        <v>63.480000000000004</v>
      </c>
      <c r="E63" t="s">
        <v>23</v>
      </c>
      <c r="F63">
        <f t="shared" si="14"/>
        <v>-22.769999999999996</v>
      </c>
      <c r="G63" s="1" t="s">
        <v>10</v>
      </c>
      <c r="J63" s="5">
        <f t="shared" si="8"/>
        <v>0.96</v>
      </c>
      <c r="K63">
        <v>86.25</v>
      </c>
      <c r="L63" t="s">
        <v>30</v>
      </c>
    </row>
    <row r="64" spans="1:12" x14ac:dyDescent="0.25">
      <c r="A64" s="1">
        <v>0.64583333333333304</v>
      </c>
      <c r="B64" s="2">
        <v>3</v>
      </c>
      <c r="C64" s="2">
        <v>4</v>
      </c>
      <c r="D64">
        <v>62.67</v>
      </c>
      <c r="E64" t="s">
        <v>23</v>
      </c>
      <c r="F64">
        <f t="shared" si="14"/>
        <v>-22.83</v>
      </c>
      <c r="G64" s="1" t="s">
        <v>10</v>
      </c>
      <c r="J64" s="5">
        <f t="shared" si="8"/>
        <v>0.96</v>
      </c>
      <c r="K64">
        <v>85.5</v>
      </c>
      <c r="L64" t="s">
        <v>30</v>
      </c>
    </row>
    <row r="65" spans="1:12" x14ac:dyDescent="0.25">
      <c r="A65" s="1">
        <v>0.65625</v>
      </c>
      <c r="B65" s="2">
        <v>3</v>
      </c>
      <c r="C65" s="2">
        <v>4</v>
      </c>
      <c r="D65">
        <v>62.550000000000004</v>
      </c>
      <c r="E65" t="s">
        <v>23</v>
      </c>
      <c r="F65">
        <f t="shared" si="14"/>
        <v>-20.399999999999999</v>
      </c>
      <c r="G65" s="1" t="s">
        <v>10</v>
      </c>
      <c r="J65" s="5">
        <f t="shared" si="8"/>
        <v>0.96</v>
      </c>
      <c r="K65">
        <v>82.95</v>
      </c>
      <c r="L65" t="s">
        <v>30</v>
      </c>
    </row>
    <row r="66" spans="1:12" x14ac:dyDescent="0.25">
      <c r="A66" s="1">
        <v>0.66666666666666696</v>
      </c>
      <c r="B66" s="2">
        <v>3</v>
      </c>
      <c r="C66" s="2">
        <v>4</v>
      </c>
      <c r="D66">
        <v>55.755000000000003</v>
      </c>
      <c r="E66" t="s">
        <v>23</v>
      </c>
      <c r="F66">
        <f t="shared" si="14"/>
        <v>-17.895000000000003</v>
      </c>
      <c r="G66" s="1" t="s">
        <v>10</v>
      </c>
      <c r="J66" s="5">
        <f t="shared" si="8"/>
        <v>0.96</v>
      </c>
      <c r="K66">
        <v>73.650000000000006</v>
      </c>
      <c r="L66" t="s">
        <v>30</v>
      </c>
    </row>
    <row r="67" spans="1:12" x14ac:dyDescent="0.25">
      <c r="A67" s="1">
        <v>0.67708333333333304</v>
      </c>
      <c r="B67" s="2">
        <v>3</v>
      </c>
      <c r="C67" s="2">
        <v>4</v>
      </c>
      <c r="D67">
        <v>59.429999999999993</v>
      </c>
      <c r="E67" t="s">
        <v>23</v>
      </c>
      <c r="F67">
        <f t="shared" si="14"/>
        <v>-4.1700000000000088</v>
      </c>
      <c r="G67" s="1" t="s">
        <v>10</v>
      </c>
      <c r="J67" s="5">
        <f t="shared" si="8"/>
        <v>0.96</v>
      </c>
      <c r="K67">
        <v>63.6</v>
      </c>
      <c r="L67" t="s">
        <v>30</v>
      </c>
    </row>
    <row r="68" spans="1:12" x14ac:dyDescent="0.25">
      <c r="A68" s="1">
        <v>0.6875</v>
      </c>
      <c r="B68" s="2">
        <v>1</v>
      </c>
      <c r="C68" s="2">
        <v>3</v>
      </c>
      <c r="D68">
        <v>56.37</v>
      </c>
      <c r="E68" t="s">
        <v>22</v>
      </c>
      <c r="F68">
        <f>D68-K68</f>
        <v>0.26999999999999602</v>
      </c>
      <c r="G68" s="1" t="s">
        <v>15</v>
      </c>
      <c r="J68" s="5">
        <f t="shared" si="8"/>
        <v>0.96</v>
      </c>
      <c r="K68">
        <v>56.1</v>
      </c>
      <c r="L68" t="s">
        <v>30</v>
      </c>
    </row>
    <row r="69" spans="1:12" x14ac:dyDescent="0.25">
      <c r="A69" s="1">
        <v>0.69791666666666696</v>
      </c>
      <c r="B69" s="2">
        <v>1</v>
      </c>
      <c r="C69" s="2">
        <v>3</v>
      </c>
      <c r="D69">
        <v>53.31</v>
      </c>
      <c r="E69" t="s">
        <v>22</v>
      </c>
      <c r="F69">
        <f t="shared" ref="F69:F88" si="15">D69-K69</f>
        <v>9.8100000000000023</v>
      </c>
      <c r="G69" s="1" t="s">
        <v>15</v>
      </c>
      <c r="J69" s="5">
        <f t="shared" si="8"/>
        <v>0.96</v>
      </c>
      <c r="K69">
        <v>43.5</v>
      </c>
      <c r="L69" t="s">
        <v>30</v>
      </c>
    </row>
    <row r="70" spans="1:12" x14ac:dyDescent="0.25">
      <c r="A70" s="1">
        <v>0.70833333333333304</v>
      </c>
      <c r="B70" s="2">
        <v>1</v>
      </c>
      <c r="C70" s="2">
        <v>3</v>
      </c>
      <c r="D70">
        <v>56.34</v>
      </c>
      <c r="E70" t="s">
        <v>22</v>
      </c>
      <c r="F70">
        <f t="shared" si="15"/>
        <v>18.240000000000002</v>
      </c>
      <c r="G70" s="1" t="s">
        <v>15</v>
      </c>
      <c r="J70" s="5">
        <f t="shared" si="8"/>
        <v>0.96</v>
      </c>
      <c r="K70">
        <v>38.1</v>
      </c>
      <c r="L70" t="s">
        <v>30</v>
      </c>
    </row>
    <row r="71" spans="1:12" x14ac:dyDescent="0.25">
      <c r="A71" s="1">
        <v>0.71875</v>
      </c>
      <c r="B71" s="2">
        <v>1</v>
      </c>
      <c r="C71" s="2">
        <v>3</v>
      </c>
      <c r="D71">
        <v>54.33</v>
      </c>
      <c r="E71" t="s">
        <v>22</v>
      </c>
      <c r="F71">
        <f t="shared" si="15"/>
        <v>19.829999999999998</v>
      </c>
      <c r="G71" s="1" t="s">
        <v>15</v>
      </c>
      <c r="J71" s="5">
        <f t="shared" si="8"/>
        <v>0.96</v>
      </c>
      <c r="K71">
        <v>34.5</v>
      </c>
      <c r="L71" t="s">
        <v>30</v>
      </c>
    </row>
    <row r="72" spans="1:12" x14ac:dyDescent="0.25">
      <c r="A72" s="1">
        <v>0.72916666666666696</v>
      </c>
      <c r="B72" s="2">
        <v>1</v>
      </c>
      <c r="C72" s="2">
        <v>3</v>
      </c>
      <c r="D72">
        <v>49.050000000000004</v>
      </c>
      <c r="E72" t="s">
        <v>22</v>
      </c>
      <c r="F72">
        <f t="shared" si="15"/>
        <v>22.200000000000003</v>
      </c>
      <c r="G72" s="1" t="s">
        <v>15</v>
      </c>
      <c r="J72" s="5">
        <f t="shared" si="8"/>
        <v>0.96</v>
      </c>
      <c r="K72">
        <v>26.85</v>
      </c>
      <c r="L72" t="s">
        <v>30</v>
      </c>
    </row>
    <row r="73" spans="1:12" x14ac:dyDescent="0.25">
      <c r="A73" s="1">
        <v>0.73958333333333304</v>
      </c>
      <c r="B73" s="2">
        <v>1</v>
      </c>
      <c r="C73" s="2">
        <v>3</v>
      </c>
      <c r="D73">
        <v>49.56</v>
      </c>
      <c r="E73" t="s">
        <v>22</v>
      </c>
      <c r="F73">
        <f t="shared" si="15"/>
        <v>27.060000000000002</v>
      </c>
      <c r="G73" s="1" t="s">
        <v>15</v>
      </c>
      <c r="J73" s="5">
        <f t="shared" si="8"/>
        <v>0.96</v>
      </c>
      <c r="K73">
        <v>22.5</v>
      </c>
      <c r="L73" t="s">
        <v>30</v>
      </c>
    </row>
    <row r="74" spans="1:12" x14ac:dyDescent="0.25">
      <c r="A74" s="1">
        <v>0.75</v>
      </c>
      <c r="B74" s="2">
        <v>1</v>
      </c>
      <c r="C74" s="2">
        <v>3</v>
      </c>
      <c r="D74">
        <v>44.835000000000001</v>
      </c>
      <c r="E74" t="s">
        <v>22</v>
      </c>
      <c r="F74">
        <f t="shared" si="15"/>
        <v>26.085000000000001</v>
      </c>
      <c r="G74" s="1" t="s">
        <v>15</v>
      </c>
      <c r="J74" s="5">
        <f t="shared" si="8"/>
        <v>0.96</v>
      </c>
      <c r="K74">
        <v>18.75</v>
      </c>
      <c r="L74" t="s">
        <v>30</v>
      </c>
    </row>
    <row r="75" spans="1:12" x14ac:dyDescent="0.25">
      <c r="A75" s="1">
        <v>0.76041666666666696</v>
      </c>
      <c r="B75" s="2">
        <v>1</v>
      </c>
      <c r="C75" s="2">
        <v>3</v>
      </c>
      <c r="D75">
        <v>43.230000000000004</v>
      </c>
      <c r="E75" t="s">
        <v>22</v>
      </c>
      <c r="F75">
        <f t="shared" si="15"/>
        <v>29.130000000000003</v>
      </c>
      <c r="G75" s="1" t="s">
        <v>15</v>
      </c>
      <c r="J75" s="5">
        <f t="shared" si="8"/>
        <v>0.96</v>
      </c>
      <c r="K75">
        <v>14.1</v>
      </c>
      <c r="L75" t="s">
        <v>30</v>
      </c>
    </row>
    <row r="76" spans="1:12" x14ac:dyDescent="0.25">
      <c r="A76" s="1">
        <v>0.77083333333333304</v>
      </c>
      <c r="B76" s="2">
        <v>1</v>
      </c>
      <c r="C76" s="2">
        <v>3</v>
      </c>
      <c r="D76">
        <v>38.910000000000004</v>
      </c>
      <c r="E76" t="s">
        <v>22</v>
      </c>
      <c r="F76">
        <f t="shared" si="15"/>
        <v>27.810000000000002</v>
      </c>
      <c r="G76" s="1" t="s">
        <v>15</v>
      </c>
      <c r="J76" s="5">
        <f t="shared" si="8"/>
        <v>0.96</v>
      </c>
      <c r="K76">
        <v>11.1</v>
      </c>
      <c r="L76" t="s">
        <v>30</v>
      </c>
    </row>
    <row r="77" spans="1:12" x14ac:dyDescent="0.25">
      <c r="A77" s="1">
        <v>0.78125</v>
      </c>
      <c r="B77" s="2">
        <v>1</v>
      </c>
      <c r="C77" s="2">
        <v>3</v>
      </c>
      <c r="D77">
        <v>40.71</v>
      </c>
      <c r="E77" t="s">
        <v>22</v>
      </c>
      <c r="F77">
        <f t="shared" si="15"/>
        <v>33.36</v>
      </c>
      <c r="G77" s="1" t="s">
        <v>15</v>
      </c>
      <c r="J77" s="5">
        <f t="shared" si="8"/>
        <v>0.96</v>
      </c>
      <c r="K77">
        <v>7.35</v>
      </c>
      <c r="L77" t="s">
        <v>30</v>
      </c>
    </row>
    <row r="78" spans="1:12" x14ac:dyDescent="0.25">
      <c r="A78" s="1">
        <v>0.79166666666666696</v>
      </c>
      <c r="B78" s="2">
        <v>3</v>
      </c>
      <c r="C78" s="2">
        <v>6</v>
      </c>
      <c r="D78">
        <v>32.055</v>
      </c>
      <c r="E78" t="s">
        <v>32</v>
      </c>
      <c r="F78">
        <f>D78-K78+H78</f>
        <v>0</v>
      </c>
      <c r="G78" s="1"/>
      <c r="H78">
        <f>K78-D78</f>
        <v>-28.754999999999999</v>
      </c>
      <c r="I78" t="s">
        <v>17</v>
      </c>
      <c r="J78" s="5">
        <f t="shared" si="8"/>
        <v>0.88811249999999997</v>
      </c>
      <c r="K78">
        <v>3.3</v>
      </c>
      <c r="L78" t="s">
        <v>30</v>
      </c>
    </row>
    <row r="79" spans="1:12" x14ac:dyDescent="0.25">
      <c r="A79" s="1">
        <v>0.80208333333333304</v>
      </c>
      <c r="B79" s="2">
        <v>3</v>
      </c>
      <c r="C79" s="2">
        <v>6</v>
      </c>
      <c r="D79">
        <v>33.674999999999997</v>
      </c>
      <c r="E79" t="s">
        <v>32</v>
      </c>
      <c r="F79">
        <f t="shared" ref="F79:F86" si="16">D79-K79+H79</f>
        <v>0</v>
      </c>
      <c r="G79" s="1"/>
      <c r="H79">
        <f t="shared" ref="H79:H86" si="17">K79-D79</f>
        <v>-31.274999999999999</v>
      </c>
      <c r="I79" t="s">
        <v>17</v>
      </c>
      <c r="J79" s="5">
        <f t="shared" si="8"/>
        <v>0.80992500000000001</v>
      </c>
      <c r="K79">
        <v>2.4</v>
      </c>
      <c r="L79" t="s">
        <v>30</v>
      </c>
    </row>
    <row r="80" spans="1:12" x14ac:dyDescent="0.25">
      <c r="A80" s="1">
        <v>0.8125</v>
      </c>
      <c r="B80" s="2">
        <v>3</v>
      </c>
      <c r="C80" s="2">
        <v>6</v>
      </c>
      <c r="D80">
        <v>32.61</v>
      </c>
      <c r="E80" t="s">
        <v>32</v>
      </c>
      <c r="F80">
        <f t="shared" si="16"/>
        <v>0</v>
      </c>
      <c r="G80" s="1"/>
      <c r="H80">
        <f t="shared" si="17"/>
        <v>-31.11</v>
      </c>
      <c r="I80" t="s">
        <v>17</v>
      </c>
      <c r="J80" s="5">
        <f t="shared" si="8"/>
        <v>0.73214999999999997</v>
      </c>
      <c r="K80">
        <v>1.5</v>
      </c>
      <c r="L80" t="s">
        <v>30</v>
      </c>
    </row>
    <row r="81" spans="1:12" x14ac:dyDescent="0.25">
      <c r="A81" s="1">
        <v>0.82291666666666696</v>
      </c>
      <c r="B81" s="2">
        <v>3</v>
      </c>
      <c r="C81" s="2">
        <v>6</v>
      </c>
      <c r="D81">
        <v>27.255000000000003</v>
      </c>
      <c r="E81" t="s">
        <v>32</v>
      </c>
      <c r="F81">
        <f t="shared" si="16"/>
        <v>0</v>
      </c>
      <c r="G81" s="1"/>
      <c r="H81">
        <f t="shared" si="17"/>
        <v>-26.355000000000004</v>
      </c>
      <c r="I81" t="s">
        <v>17</v>
      </c>
      <c r="J81" s="5">
        <f t="shared" si="8"/>
        <v>0.66626249999999998</v>
      </c>
      <c r="K81">
        <v>0.9</v>
      </c>
      <c r="L81" t="s">
        <v>30</v>
      </c>
    </row>
    <row r="82" spans="1:12" x14ac:dyDescent="0.25">
      <c r="A82" s="1">
        <v>0.83333333333333304</v>
      </c>
      <c r="B82" s="2">
        <v>6</v>
      </c>
      <c r="D82">
        <v>27.39</v>
      </c>
      <c r="E82" t="s">
        <v>20</v>
      </c>
      <c r="F82">
        <f t="shared" si="16"/>
        <v>0</v>
      </c>
      <c r="G82" s="1"/>
      <c r="H82">
        <f t="shared" si="17"/>
        <v>-27.39</v>
      </c>
      <c r="I82" t="s">
        <v>17</v>
      </c>
      <c r="J82" s="5">
        <f t="shared" si="8"/>
        <v>0.59778749999999992</v>
      </c>
      <c r="K82">
        <v>0</v>
      </c>
    </row>
    <row r="83" spans="1:12" x14ac:dyDescent="0.25">
      <c r="A83" s="1">
        <v>0.84375</v>
      </c>
      <c r="B83" s="2">
        <v>6</v>
      </c>
      <c r="D83">
        <v>26.130000000000003</v>
      </c>
      <c r="E83" t="s">
        <v>20</v>
      </c>
      <c r="F83">
        <f t="shared" si="16"/>
        <v>0</v>
      </c>
      <c r="G83" s="1"/>
      <c r="H83">
        <f t="shared" si="17"/>
        <v>-26.130000000000003</v>
      </c>
      <c r="I83" t="s">
        <v>17</v>
      </c>
      <c r="J83" s="5">
        <f t="shared" si="8"/>
        <v>0.53246249999999995</v>
      </c>
      <c r="K83">
        <v>0</v>
      </c>
    </row>
    <row r="84" spans="1:12" x14ac:dyDescent="0.25">
      <c r="A84" s="1">
        <v>0.85416666666666696</v>
      </c>
      <c r="B84" s="2">
        <v>6</v>
      </c>
      <c r="D84">
        <v>25.650000000000002</v>
      </c>
      <c r="E84" t="s">
        <v>20</v>
      </c>
      <c r="F84">
        <f t="shared" si="16"/>
        <v>0</v>
      </c>
      <c r="G84" s="1"/>
      <c r="H84">
        <f t="shared" si="17"/>
        <v>-25.650000000000002</v>
      </c>
      <c r="I84" t="s">
        <v>17</v>
      </c>
      <c r="J84" s="5">
        <f t="shared" si="8"/>
        <v>0.46833749999999996</v>
      </c>
      <c r="K84">
        <v>0</v>
      </c>
    </row>
    <row r="85" spans="1:12" x14ac:dyDescent="0.25">
      <c r="A85" s="1">
        <v>0.86458333333333304</v>
      </c>
      <c r="B85" s="2">
        <v>6</v>
      </c>
      <c r="D85">
        <v>24.630000000000003</v>
      </c>
      <c r="E85" t="s">
        <v>20</v>
      </c>
      <c r="F85">
        <f t="shared" si="16"/>
        <v>0</v>
      </c>
      <c r="G85" s="1"/>
      <c r="H85">
        <f t="shared" si="17"/>
        <v>-24.630000000000003</v>
      </c>
      <c r="I85" t="s">
        <v>17</v>
      </c>
      <c r="J85" s="5">
        <f t="shared" si="8"/>
        <v>0.40676249999999997</v>
      </c>
      <c r="K85">
        <v>0</v>
      </c>
    </row>
    <row r="86" spans="1:12" x14ac:dyDescent="0.25">
      <c r="A86" s="1">
        <v>0.875</v>
      </c>
      <c r="B86" s="2">
        <v>6</v>
      </c>
      <c r="D86">
        <v>21.72</v>
      </c>
      <c r="E86" t="s">
        <v>20</v>
      </c>
      <c r="F86">
        <f t="shared" si="16"/>
        <v>0</v>
      </c>
      <c r="G86" s="1"/>
      <c r="H86">
        <f t="shared" si="17"/>
        <v>-21.72</v>
      </c>
      <c r="I86" t="s">
        <v>17</v>
      </c>
      <c r="J86" s="5">
        <f t="shared" si="8"/>
        <v>0.35246249999999996</v>
      </c>
      <c r="K86">
        <v>0</v>
      </c>
    </row>
    <row r="87" spans="1:12" x14ac:dyDescent="0.25">
      <c r="A87" s="1">
        <v>0.88541666666666696</v>
      </c>
      <c r="B87" s="2">
        <v>1</v>
      </c>
      <c r="D87">
        <v>18.240000000000002</v>
      </c>
      <c r="E87" t="s">
        <v>21</v>
      </c>
      <c r="F87">
        <f t="shared" si="15"/>
        <v>18.240000000000002</v>
      </c>
      <c r="G87" s="1" t="s">
        <v>15</v>
      </c>
      <c r="J87" s="5">
        <f t="shared" si="8"/>
        <v>0.35246249999999996</v>
      </c>
      <c r="K87">
        <v>0</v>
      </c>
    </row>
    <row r="88" spans="1:12" x14ac:dyDescent="0.25">
      <c r="A88" s="1">
        <v>0.89583333333333304</v>
      </c>
      <c r="B88" s="2">
        <v>1</v>
      </c>
      <c r="D88">
        <v>17.46</v>
      </c>
      <c r="E88" t="s">
        <v>21</v>
      </c>
      <c r="F88">
        <f t="shared" si="15"/>
        <v>17.46</v>
      </c>
      <c r="G88" s="1" t="s">
        <v>15</v>
      </c>
      <c r="J88" s="5">
        <f t="shared" si="8"/>
        <v>0.35246249999999996</v>
      </c>
      <c r="K88">
        <v>0</v>
      </c>
    </row>
    <row r="89" spans="1:12" x14ac:dyDescent="0.25">
      <c r="A89" s="1">
        <v>0.90625</v>
      </c>
      <c r="B89" s="2">
        <v>1</v>
      </c>
      <c r="D89">
        <v>14.475000000000001</v>
      </c>
      <c r="E89" t="s">
        <v>21</v>
      </c>
      <c r="F89">
        <f t="shared" ref="F89" si="18">D89-K89</f>
        <v>14.475000000000001</v>
      </c>
      <c r="G89" s="1" t="s">
        <v>15</v>
      </c>
      <c r="J89" s="5">
        <f t="shared" si="8"/>
        <v>0.35246249999999996</v>
      </c>
      <c r="K89">
        <v>0</v>
      </c>
    </row>
    <row r="90" spans="1:12" x14ac:dyDescent="0.25">
      <c r="A90" s="1">
        <v>0.91666666666666696</v>
      </c>
      <c r="B90" s="2">
        <v>1</v>
      </c>
      <c r="C90" s="2">
        <v>2</v>
      </c>
      <c r="D90">
        <v>10.83</v>
      </c>
      <c r="E90" t="s">
        <v>21</v>
      </c>
      <c r="F90">
        <f t="shared" ref="F90:F97" si="19">D90-K90+H90</f>
        <v>72.83</v>
      </c>
      <c r="G90" s="1" t="s">
        <v>15</v>
      </c>
      <c r="H90">
        <v>62</v>
      </c>
      <c r="I90" t="s">
        <v>16</v>
      </c>
      <c r="J90" s="5">
        <f t="shared" si="8"/>
        <v>0.50746249999999993</v>
      </c>
      <c r="K90">
        <v>0</v>
      </c>
    </row>
    <row r="91" spans="1:12" x14ac:dyDescent="0.25">
      <c r="A91" s="1">
        <v>0.92708333333333304</v>
      </c>
      <c r="B91" s="2">
        <v>1</v>
      </c>
      <c r="C91" s="2">
        <v>2</v>
      </c>
      <c r="D91">
        <v>10.845000000000001</v>
      </c>
      <c r="E91" t="s">
        <v>21</v>
      </c>
      <c r="F91">
        <f t="shared" si="19"/>
        <v>66.844999999999999</v>
      </c>
      <c r="G91" s="1" t="s">
        <v>15</v>
      </c>
      <c r="H91">
        <v>56</v>
      </c>
      <c r="I91" t="s">
        <v>16</v>
      </c>
      <c r="J91" s="5">
        <f t="shared" si="8"/>
        <v>0.64746249999999994</v>
      </c>
      <c r="K91">
        <v>0</v>
      </c>
    </row>
    <row r="92" spans="1:12" x14ac:dyDescent="0.25">
      <c r="A92" s="1">
        <v>0.9375</v>
      </c>
      <c r="B92" s="2">
        <v>1</v>
      </c>
      <c r="C92" s="2">
        <v>2</v>
      </c>
      <c r="D92">
        <v>10.5</v>
      </c>
      <c r="E92" t="s">
        <v>21</v>
      </c>
      <c r="F92">
        <f t="shared" si="19"/>
        <v>71.5</v>
      </c>
      <c r="G92" s="1" t="s">
        <v>15</v>
      </c>
      <c r="H92">
        <v>61</v>
      </c>
      <c r="I92" t="s">
        <v>16</v>
      </c>
      <c r="J92" s="5">
        <f t="shared" si="8"/>
        <v>0.79996249999999991</v>
      </c>
      <c r="K92">
        <v>0</v>
      </c>
    </row>
    <row r="93" spans="1:12" x14ac:dyDescent="0.25">
      <c r="A93" s="1">
        <v>0.94791666666666696</v>
      </c>
      <c r="B93" s="2">
        <v>1</v>
      </c>
      <c r="C93" s="2">
        <v>2</v>
      </c>
      <c r="D93">
        <v>10.23</v>
      </c>
      <c r="E93" t="s">
        <v>21</v>
      </c>
      <c r="F93">
        <f t="shared" si="19"/>
        <v>69.23</v>
      </c>
      <c r="G93" s="1" t="s">
        <v>15</v>
      </c>
      <c r="H93">
        <v>59</v>
      </c>
      <c r="I93" t="s">
        <v>16</v>
      </c>
      <c r="J93" s="5">
        <f t="shared" si="8"/>
        <v>0.94746249999999987</v>
      </c>
      <c r="K93">
        <v>0</v>
      </c>
    </row>
    <row r="94" spans="1:12" x14ac:dyDescent="0.25">
      <c r="A94" s="1">
        <v>0.95833333333333304</v>
      </c>
      <c r="B94" s="2">
        <v>1</v>
      </c>
      <c r="D94">
        <v>9.7349999999999994</v>
      </c>
      <c r="E94" t="s">
        <v>21</v>
      </c>
      <c r="F94">
        <f t="shared" si="19"/>
        <v>9.7349999999999994</v>
      </c>
      <c r="G94" s="1" t="s">
        <v>15</v>
      </c>
      <c r="J94" s="5">
        <f t="shared" si="8"/>
        <v>0.94746249999999987</v>
      </c>
      <c r="K94">
        <v>0</v>
      </c>
    </row>
    <row r="95" spans="1:12" x14ac:dyDescent="0.25">
      <c r="A95" s="1">
        <v>0.96875</v>
      </c>
      <c r="B95" s="2">
        <v>1</v>
      </c>
      <c r="D95">
        <v>9.69</v>
      </c>
      <c r="E95" t="s">
        <v>21</v>
      </c>
      <c r="F95">
        <f t="shared" si="19"/>
        <v>9.69</v>
      </c>
      <c r="G95" s="1" t="s">
        <v>15</v>
      </c>
      <c r="J95" s="5">
        <f t="shared" si="8"/>
        <v>0.94746249999999987</v>
      </c>
      <c r="K95">
        <v>0</v>
      </c>
    </row>
    <row r="96" spans="1:12" x14ac:dyDescent="0.25">
      <c r="A96" s="1">
        <v>0.97916666666666696</v>
      </c>
      <c r="B96" s="2">
        <v>1</v>
      </c>
      <c r="D96">
        <v>8.0849999999999991</v>
      </c>
      <c r="E96" t="s">
        <v>21</v>
      </c>
      <c r="F96">
        <f t="shared" si="19"/>
        <v>8.0849999999999991</v>
      </c>
      <c r="G96" s="1" t="s">
        <v>15</v>
      </c>
      <c r="J96" s="5">
        <f t="shared" si="8"/>
        <v>0.94746249999999987</v>
      </c>
      <c r="K96">
        <v>0</v>
      </c>
    </row>
    <row r="97" spans="1:11" x14ac:dyDescent="0.25">
      <c r="A97" s="1">
        <v>0.98958333333333304</v>
      </c>
      <c r="B97" s="2">
        <v>1</v>
      </c>
      <c r="D97">
        <v>8.5500000000000007</v>
      </c>
      <c r="E97" t="s">
        <v>21</v>
      </c>
      <c r="F97">
        <f t="shared" si="19"/>
        <v>8.5500000000000007</v>
      </c>
      <c r="G97" s="1" t="s">
        <v>15</v>
      </c>
      <c r="J97" s="5">
        <f t="shared" si="8"/>
        <v>0.94746249999999987</v>
      </c>
      <c r="K97">
        <v>0</v>
      </c>
    </row>
    <row r="98" spans="1:11" x14ac:dyDescent="0.25">
      <c r="G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E7"/>
  <sheetViews>
    <sheetView workbookViewId="0">
      <selection sqref="A1:E7"/>
    </sheetView>
  </sheetViews>
  <sheetFormatPr defaultRowHeight="15" x14ac:dyDescent="0.25"/>
  <cols>
    <col min="3" max="4" width="11.42578125" bestFit="1" customWidth="1"/>
  </cols>
  <sheetData>
    <row r="1" spans="1:5" x14ac:dyDescent="0.25">
      <c r="A1" t="s">
        <v>0</v>
      </c>
      <c r="B1" t="s">
        <v>4</v>
      </c>
      <c r="C1" t="s">
        <v>5</v>
      </c>
      <c r="D1" t="s">
        <v>6</v>
      </c>
      <c r="E1" t="s">
        <v>19</v>
      </c>
    </row>
    <row r="2" spans="1:5" x14ac:dyDescent="0.25">
      <c r="A2" s="2">
        <v>1</v>
      </c>
      <c r="B2" t="s">
        <v>1</v>
      </c>
      <c r="C2" t="s">
        <v>2</v>
      </c>
      <c r="D2" t="s">
        <v>3</v>
      </c>
    </row>
    <row r="3" spans="1:5" x14ac:dyDescent="0.25">
      <c r="A3" s="2">
        <v>2</v>
      </c>
      <c r="B3" t="s">
        <v>1</v>
      </c>
      <c r="C3" t="s">
        <v>2</v>
      </c>
      <c r="D3" t="s">
        <v>7</v>
      </c>
      <c r="E3" t="s">
        <v>8</v>
      </c>
    </row>
    <row r="4" spans="1:5" x14ac:dyDescent="0.25">
      <c r="A4" s="2">
        <v>3</v>
      </c>
      <c r="B4" t="s">
        <v>9</v>
      </c>
      <c r="C4" t="s">
        <v>7</v>
      </c>
      <c r="D4" t="s">
        <v>3</v>
      </c>
    </row>
    <row r="5" spans="1:5" x14ac:dyDescent="0.25">
      <c r="A5" s="2">
        <v>4</v>
      </c>
      <c r="B5" t="s">
        <v>9</v>
      </c>
      <c r="C5" t="s">
        <v>7</v>
      </c>
      <c r="D5" t="s">
        <v>2</v>
      </c>
      <c r="E5" t="s">
        <v>1</v>
      </c>
    </row>
    <row r="6" spans="1:5" x14ac:dyDescent="0.25">
      <c r="A6" s="2">
        <v>5</v>
      </c>
      <c r="B6" t="s">
        <v>9</v>
      </c>
      <c r="C6" t="s">
        <v>7</v>
      </c>
      <c r="D6" t="s">
        <v>8</v>
      </c>
    </row>
    <row r="7" spans="1:5" x14ac:dyDescent="0.25">
      <c r="A7" s="2">
        <v>6</v>
      </c>
      <c r="B7" t="s">
        <v>8</v>
      </c>
      <c r="C7" t="s">
        <v>7</v>
      </c>
      <c r="D7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2026-01-21T10:30:05Z</dcterms:modified>
</cp:coreProperties>
</file>