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Code\EnergySite\energy_monitor\"/>
    </mc:Choice>
  </mc:AlternateContent>
  <xr:revisionPtr revIDLastSave="0" documentId="13_ncr:1_{95D38F82-E416-4452-87C8-9288EAA989FF}" xr6:coauthVersionLast="47" xr6:coauthVersionMax="47" xr10:uidLastSave="{00000000-0000-0000-0000-000000000000}"/>
  <bookViews>
    <workbookView xWindow="795" yWindow="1740" windowWidth="26295" windowHeight="13215" xr2:uid="{DBB553FB-9E8C-47FF-81A1-BDC0FE815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G99" i="1"/>
  <c r="G98" i="1"/>
  <c r="G97" i="1"/>
  <c r="G96" i="1"/>
  <c r="G95" i="1"/>
  <c r="G94" i="1"/>
  <c r="G93" i="1"/>
  <c r="G92" i="1"/>
  <c r="G91" i="1"/>
  <c r="G58" i="1"/>
  <c r="G57" i="1"/>
  <c r="G88" i="1"/>
  <c r="G87" i="1"/>
  <c r="G86" i="1"/>
  <c r="G85" i="1"/>
  <c r="G84" i="1"/>
  <c r="I88" i="1"/>
  <c r="I87" i="1"/>
  <c r="I86" i="1"/>
  <c r="I85" i="1"/>
  <c r="I84" i="1"/>
  <c r="I83" i="1"/>
  <c r="G83" i="1" s="1"/>
  <c r="I82" i="1"/>
  <c r="G82" i="1" s="1"/>
  <c r="I81" i="1"/>
  <c r="G81" i="1" s="1"/>
  <c r="I80" i="1"/>
  <c r="G80" i="1" s="1"/>
  <c r="G60" i="1"/>
  <c r="G59" i="1"/>
  <c r="I8" i="1"/>
  <c r="I7" i="1"/>
  <c r="I6" i="1"/>
  <c r="I5" i="1"/>
  <c r="I4" i="1"/>
  <c r="G90" i="1"/>
  <c r="G89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I56" i="1"/>
  <c r="G56" i="1" s="1"/>
  <c r="I55" i="1"/>
  <c r="G55" i="1" s="1"/>
  <c r="I54" i="1"/>
  <c r="G54" i="1" s="1"/>
  <c r="I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</calcChain>
</file>

<file path=xl/sharedStrings.xml><?xml version="1.0" encoding="utf-8"?>
<sst xmlns="http://schemas.openxmlformats.org/spreadsheetml/2006/main" count="292" uniqueCount="32">
  <si>
    <t>PATHS</t>
  </si>
  <si>
    <t>GRID</t>
  </si>
  <si>
    <t>GRID METER</t>
  </si>
  <si>
    <t>BUILDING</t>
  </si>
  <si>
    <t>Step 1</t>
  </si>
  <si>
    <t>Step 2</t>
  </si>
  <si>
    <t>Step 3</t>
  </si>
  <si>
    <t>INVERTER</t>
  </si>
  <si>
    <t>BATTERY</t>
  </si>
  <si>
    <t>SOLAR</t>
  </si>
  <si>
    <t>Exporting</t>
  </si>
  <si>
    <t>PATH 1</t>
  </si>
  <si>
    <t>PATH 2</t>
  </si>
  <si>
    <t>PATH 3</t>
  </si>
  <si>
    <t>GRID PWR</t>
  </si>
  <si>
    <t>BATTERY PWR</t>
  </si>
  <si>
    <t>Importing</t>
  </si>
  <si>
    <t>Charging</t>
  </si>
  <si>
    <t>Discharging</t>
  </si>
  <si>
    <t>TIME</t>
  </si>
  <si>
    <t>Step 4</t>
  </si>
  <si>
    <t>Battery only</t>
  </si>
  <si>
    <t>Grid only</t>
  </si>
  <si>
    <t>Grid + solar</t>
  </si>
  <si>
    <t>Solar only</t>
  </si>
  <si>
    <t>BUILDING LOAD PWR</t>
  </si>
  <si>
    <t>BUILDING LOAD LABEL</t>
  </si>
  <si>
    <t>GRID LABEL</t>
  </si>
  <si>
    <t>BATTERY LABEL</t>
  </si>
  <si>
    <t>SOLAR PWR</t>
  </si>
  <si>
    <t>SOLAR LABEL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</si>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</sst>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83D1-0F20-4AA9-8E66-4B04E80D1FD0}">
  <dimension ref="A2:R100"/>
  <sheetViews>
    <sheetView tabSelected="1" workbookViewId="0">
      <pane ySplit="3" topLeftCell="A4" activePane="bottomLeft" state="frozenSplit"/>
      <selection pane="bottomLeft" activeCell="N3" sqref="N3:R9"/>
    </sheetView>
  </sheetViews>
  <sheetFormatPr defaultRowHeight="15" x14ac:dyDescent="0.25"/>
  <cols>
    <col min="2" max="4" width="9.140625" style="2"/>
    <col min="6" max="6" width="11.28515625" customWidth="1"/>
    <col min="7" max="8" width="11" customWidth="1"/>
    <col min="10" max="10" width="11.5703125" bestFit="1" customWidth="1"/>
    <col min="15" max="18" width="13.140625" customWidth="1"/>
    <col min="19" max="19" width="18.85546875" customWidth="1"/>
  </cols>
  <sheetData>
    <row r="2" spans="1:18" x14ac:dyDescent="0.25">
      <c r="E2" s="3"/>
      <c r="F2" s="3"/>
      <c r="G2" s="4"/>
      <c r="H2" s="4"/>
      <c r="I2" s="3"/>
      <c r="J2" s="3"/>
      <c r="K2" s="3"/>
      <c r="L2" s="3"/>
    </row>
    <row r="3" spans="1:18" ht="45" x14ac:dyDescent="0.25">
      <c r="A3" t="s">
        <v>19</v>
      </c>
      <c r="B3" s="5" t="s">
        <v>11</v>
      </c>
      <c r="C3" s="5" t="s">
        <v>12</v>
      </c>
      <c r="D3" s="5" t="s">
        <v>13</v>
      </c>
      <c r="E3" s="4" t="s">
        <v>25</v>
      </c>
      <c r="F3" s="4" t="s">
        <v>26</v>
      </c>
      <c r="G3" s="4" t="s">
        <v>14</v>
      </c>
      <c r="H3" s="4" t="s">
        <v>27</v>
      </c>
      <c r="I3" s="4" t="s">
        <v>15</v>
      </c>
      <c r="J3" s="4" t="s">
        <v>28</v>
      </c>
      <c r="K3" s="4" t="s">
        <v>29</v>
      </c>
      <c r="L3" s="4" t="s">
        <v>30</v>
      </c>
      <c r="N3" t="s">
        <v>0</v>
      </c>
      <c r="O3" t="s">
        <v>4</v>
      </c>
      <c r="P3" t="s">
        <v>5</v>
      </c>
      <c r="Q3" t="s">
        <v>6</v>
      </c>
      <c r="R3" t="s">
        <v>20</v>
      </c>
    </row>
    <row r="4" spans="1:18" x14ac:dyDescent="0.25">
      <c r="A4" s="1">
        <v>0</v>
      </c>
      <c r="B4" s="2">
        <v>6</v>
      </c>
      <c r="E4">
        <v>7.6050000000000004</v>
      </c>
      <c r="F4" t="s">
        <v>21</v>
      </c>
      <c r="I4">
        <f t="shared" ref="I4:I8" si="0">K4-E4</f>
        <v>-7.6050000000000004</v>
      </c>
      <c r="J4" t="s">
        <v>18</v>
      </c>
      <c r="K4">
        <v>0</v>
      </c>
      <c r="N4" s="2">
        <v>1</v>
      </c>
      <c r="O4" t="s">
        <v>1</v>
      </c>
      <c r="P4" t="s">
        <v>2</v>
      </c>
      <c r="Q4" t="s">
        <v>3</v>
      </c>
    </row>
    <row r="5" spans="1:18" x14ac:dyDescent="0.25">
      <c r="A5" s="1">
        <v>1.0416666666666666E-2</v>
      </c>
      <c r="B5" s="2">
        <v>6</v>
      </c>
      <c r="E5">
        <v>7.7099999999999991</v>
      </c>
      <c r="F5" t="s">
        <v>21</v>
      </c>
      <c r="I5">
        <f t="shared" si="0"/>
        <v>-7.7099999999999991</v>
      </c>
      <c r="J5" t="s">
        <v>18</v>
      </c>
      <c r="K5">
        <v>0</v>
      </c>
      <c r="N5" s="2">
        <v>2</v>
      </c>
      <c r="O5" t="s">
        <v>1</v>
      </c>
      <c r="P5" t="s">
        <v>2</v>
      </c>
      <c r="Q5" t="s">
        <v>7</v>
      </c>
      <c r="R5" t="s">
        <v>8</v>
      </c>
    </row>
    <row r="6" spans="1:18" x14ac:dyDescent="0.25">
      <c r="A6" s="1">
        <v>2.0833333333333301E-2</v>
      </c>
      <c r="B6" s="2">
        <v>6</v>
      </c>
      <c r="E6">
        <v>7.0649999999999995</v>
      </c>
      <c r="F6" t="s">
        <v>21</v>
      </c>
      <c r="I6">
        <f t="shared" si="0"/>
        <v>-7.0649999999999995</v>
      </c>
      <c r="J6" t="s">
        <v>18</v>
      </c>
      <c r="K6">
        <v>0</v>
      </c>
      <c r="N6" s="2">
        <v>3</v>
      </c>
      <c r="O6" t="s">
        <v>9</v>
      </c>
      <c r="P6" t="s">
        <v>7</v>
      </c>
      <c r="Q6" t="s">
        <v>3</v>
      </c>
    </row>
    <row r="7" spans="1:18" x14ac:dyDescent="0.25">
      <c r="A7" s="1">
        <v>3.125E-2</v>
      </c>
      <c r="B7" s="2">
        <v>6</v>
      </c>
      <c r="E7">
        <v>8.2349999999999994</v>
      </c>
      <c r="F7" t="s">
        <v>21</v>
      </c>
      <c r="I7">
        <f t="shared" si="0"/>
        <v>-8.2349999999999994</v>
      </c>
      <c r="J7" t="s">
        <v>18</v>
      </c>
      <c r="K7">
        <v>0</v>
      </c>
      <c r="N7" s="2">
        <v>4</v>
      </c>
      <c r="O7" t="s">
        <v>9</v>
      </c>
      <c r="P7" t="s">
        <v>7</v>
      </c>
      <c r="Q7" t="s">
        <v>2</v>
      </c>
      <c r="R7" t="s">
        <v>1</v>
      </c>
    </row>
    <row r="8" spans="1:18" x14ac:dyDescent="0.25">
      <c r="A8" s="1">
        <v>4.1666666666666699E-2</v>
      </c>
      <c r="B8" s="2">
        <v>6</v>
      </c>
      <c r="E8">
        <v>7.17</v>
      </c>
      <c r="F8" t="s">
        <v>21</v>
      </c>
      <c r="I8">
        <f t="shared" si="0"/>
        <v>-7.17</v>
      </c>
      <c r="J8" t="s">
        <v>18</v>
      </c>
      <c r="K8">
        <v>0</v>
      </c>
      <c r="N8" s="2">
        <v>5</v>
      </c>
      <c r="O8" t="s">
        <v>9</v>
      </c>
      <c r="P8" t="s">
        <v>7</v>
      </c>
      <c r="Q8" t="s">
        <v>8</v>
      </c>
    </row>
    <row r="9" spans="1:18" x14ac:dyDescent="0.25">
      <c r="A9" s="1">
        <v>5.2083333333333301E-2</v>
      </c>
      <c r="B9" s="2">
        <v>1</v>
      </c>
      <c r="E9">
        <v>7.4700000000000006</v>
      </c>
      <c r="F9" t="s">
        <v>22</v>
      </c>
      <c r="G9">
        <f t="shared" ref="G9:G43" si="1">E9</f>
        <v>7.4700000000000006</v>
      </c>
      <c r="H9" t="s">
        <v>16</v>
      </c>
      <c r="K9">
        <v>0</v>
      </c>
      <c r="N9" s="2">
        <v>6</v>
      </c>
      <c r="O9" t="s">
        <v>8</v>
      </c>
      <c r="P9" t="s">
        <v>7</v>
      </c>
      <c r="Q9" t="s">
        <v>3</v>
      </c>
    </row>
    <row r="10" spans="1:18" x14ac:dyDescent="0.25">
      <c r="A10" s="1">
        <v>6.25E-2</v>
      </c>
      <c r="B10" s="2">
        <v>1</v>
      </c>
      <c r="E10">
        <v>7.875</v>
      </c>
      <c r="F10" t="s">
        <v>22</v>
      </c>
      <c r="G10">
        <f t="shared" si="1"/>
        <v>7.875</v>
      </c>
      <c r="H10" t="s">
        <v>16</v>
      </c>
      <c r="K10">
        <v>0</v>
      </c>
      <c r="N10" s="2"/>
    </row>
    <row r="11" spans="1:18" x14ac:dyDescent="0.25">
      <c r="A11" s="1">
        <v>7.2916666666666699E-2</v>
      </c>
      <c r="B11" s="2">
        <v>1</v>
      </c>
      <c r="E11">
        <v>7.3349999999999991</v>
      </c>
      <c r="F11" t="s">
        <v>22</v>
      </c>
      <c r="G11">
        <f t="shared" si="1"/>
        <v>7.3349999999999991</v>
      </c>
      <c r="H11" t="s">
        <v>16</v>
      </c>
      <c r="K11">
        <v>0</v>
      </c>
      <c r="N11" s="2"/>
    </row>
    <row r="12" spans="1:18" x14ac:dyDescent="0.25">
      <c r="A12" s="1">
        <v>8.3333333333333301E-2</v>
      </c>
      <c r="B12" s="2">
        <v>1</v>
      </c>
      <c r="E12">
        <v>7.3949999999999996</v>
      </c>
      <c r="F12" t="s">
        <v>22</v>
      </c>
      <c r="G12">
        <f t="shared" si="1"/>
        <v>7.3949999999999996</v>
      </c>
      <c r="H12" t="s">
        <v>16</v>
      </c>
      <c r="K12">
        <v>0</v>
      </c>
      <c r="N12" s="2"/>
    </row>
    <row r="13" spans="1:18" x14ac:dyDescent="0.25">
      <c r="A13" s="1">
        <v>9.375E-2</v>
      </c>
      <c r="B13" s="2">
        <v>1</v>
      </c>
      <c r="E13">
        <v>7.4399999999999995</v>
      </c>
      <c r="F13" t="s">
        <v>22</v>
      </c>
      <c r="G13">
        <f t="shared" si="1"/>
        <v>7.4399999999999995</v>
      </c>
      <c r="H13" t="s">
        <v>16</v>
      </c>
      <c r="K13">
        <v>0</v>
      </c>
      <c r="N13" s="2"/>
    </row>
    <row r="14" spans="1:18" x14ac:dyDescent="0.25">
      <c r="A14" s="1">
        <v>0.104166666666667</v>
      </c>
      <c r="B14" s="2">
        <v>1</v>
      </c>
      <c r="E14">
        <v>7.89</v>
      </c>
      <c r="F14" t="s">
        <v>22</v>
      </c>
      <c r="G14">
        <f t="shared" si="1"/>
        <v>7.89</v>
      </c>
      <c r="H14" t="s">
        <v>16</v>
      </c>
      <c r="K14">
        <v>0</v>
      </c>
      <c r="N14" s="2"/>
    </row>
    <row r="15" spans="1:18" x14ac:dyDescent="0.25">
      <c r="A15" s="1">
        <v>0.114583333333333</v>
      </c>
      <c r="B15" s="2">
        <v>1</v>
      </c>
      <c r="E15">
        <v>8.43</v>
      </c>
      <c r="F15" t="s">
        <v>22</v>
      </c>
      <c r="G15">
        <f t="shared" si="1"/>
        <v>8.43</v>
      </c>
      <c r="H15" t="s">
        <v>16</v>
      </c>
      <c r="K15">
        <v>0</v>
      </c>
      <c r="N15" s="2"/>
    </row>
    <row r="16" spans="1:18" x14ac:dyDescent="0.25">
      <c r="A16" s="1">
        <v>0.125</v>
      </c>
      <c r="B16" s="2">
        <v>1</v>
      </c>
      <c r="E16">
        <v>7.74</v>
      </c>
      <c r="F16" t="s">
        <v>22</v>
      </c>
      <c r="G16">
        <f t="shared" si="1"/>
        <v>7.74</v>
      </c>
      <c r="H16" t="s">
        <v>16</v>
      </c>
      <c r="K16">
        <v>0</v>
      </c>
      <c r="N16" s="2"/>
    </row>
    <row r="17" spans="1:14" x14ac:dyDescent="0.25">
      <c r="A17" s="1">
        <v>0.13541666666666699</v>
      </c>
      <c r="B17" s="2">
        <v>1</v>
      </c>
      <c r="E17">
        <v>7.38</v>
      </c>
      <c r="F17" t="s">
        <v>22</v>
      </c>
      <c r="G17">
        <f t="shared" si="1"/>
        <v>7.38</v>
      </c>
      <c r="H17" t="s">
        <v>16</v>
      </c>
      <c r="K17">
        <v>0</v>
      </c>
      <c r="N17" s="2"/>
    </row>
    <row r="18" spans="1:14" x14ac:dyDescent="0.25">
      <c r="A18" s="1">
        <v>0.14583333333333301</v>
      </c>
      <c r="B18" s="2">
        <v>1</v>
      </c>
      <c r="E18">
        <v>7.89</v>
      </c>
      <c r="F18" t="s">
        <v>22</v>
      </c>
      <c r="G18">
        <f t="shared" si="1"/>
        <v>7.89</v>
      </c>
      <c r="H18" t="s">
        <v>16</v>
      </c>
      <c r="K18">
        <v>0</v>
      </c>
      <c r="N18" s="2"/>
    </row>
    <row r="19" spans="1:14" x14ac:dyDescent="0.25">
      <c r="A19" s="1">
        <v>0.15625</v>
      </c>
      <c r="B19" s="2">
        <v>1</v>
      </c>
      <c r="E19">
        <v>7.5449999999999999</v>
      </c>
      <c r="F19" t="s">
        <v>22</v>
      </c>
      <c r="G19">
        <f t="shared" si="1"/>
        <v>7.5449999999999999</v>
      </c>
      <c r="H19" t="s">
        <v>16</v>
      </c>
      <c r="K19">
        <v>0</v>
      </c>
      <c r="N19" s="2"/>
    </row>
    <row r="20" spans="1:14" x14ac:dyDescent="0.25">
      <c r="A20" s="1">
        <v>0.16666666666666699</v>
      </c>
      <c r="B20" s="2">
        <v>1</v>
      </c>
      <c r="E20">
        <v>7.7250000000000005</v>
      </c>
      <c r="F20" t="s">
        <v>22</v>
      </c>
      <c r="G20">
        <f t="shared" si="1"/>
        <v>7.7250000000000005</v>
      </c>
      <c r="H20" t="s">
        <v>16</v>
      </c>
      <c r="K20">
        <v>0</v>
      </c>
      <c r="N20" s="2"/>
    </row>
    <row r="21" spans="1:14" x14ac:dyDescent="0.25">
      <c r="A21" s="1">
        <v>0.17708333333333301</v>
      </c>
      <c r="B21" s="2">
        <v>1</v>
      </c>
      <c r="E21">
        <v>8.5950000000000006</v>
      </c>
      <c r="F21" t="s">
        <v>22</v>
      </c>
      <c r="G21">
        <f t="shared" si="1"/>
        <v>8.5950000000000006</v>
      </c>
      <c r="H21" t="s">
        <v>16</v>
      </c>
      <c r="K21">
        <v>0</v>
      </c>
      <c r="N21" s="2"/>
    </row>
    <row r="22" spans="1:14" x14ac:dyDescent="0.25">
      <c r="A22" s="1">
        <v>0.1875</v>
      </c>
      <c r="B22" s="2">
        <v>1</v>
      </c>
      <c r="E22">
        <v>8.43</v>
      </c>
      <c r="F22" t="s">
        <v>22</v>
      </c>
      <c r="G22">
        <f t="shared" si="1"/>
        <v>8.43</v>
      </c>
      <c r="H22" t="s">
        <v>16</v>
      </c>
      <c r="K22">
        <v>0</v>
      </c>
    </row>
    <row r="23" spans="1:14" x14ac:dyDescent="0.25">
      <c r="A23" s="1">
        <v>0.19791666666666699</v>
      </c>
      <c r="B23" s="2">
        <v>1</v>
      </c>
      <c r="E23">
        <v>9.18</v>
      </c>
      <c r="F23" t="s">
        <v>22</v>
      </c>
      <c r="G23">
        <f t="shared" si="1"/>
        <v>9.18</v>
      </c>
      <c r="H23" t="s">
        <v>16</v>
      </c>
      <c r="K23">
        <v>0</v>
      </c>
    </row>
    <row r="24" spans="1:14" x14ac:dyDescent="0.25">
      <c r="A24" s="1">
        <v>0.20833333333333301</v>
      </c>
      <c r="B24" s="2">
        <v>1</v>
      </c>
      <c r="E24">
        <v>9.3149999999999995</v>
      </c>
      <c r="F24" t="s">
        <v>22</v>
      </c>
      <c r="G24">
        <f t="shared" si="1"/>
        <v>9.3149999999999995</v>
      </c>
      <c r="H24" t="s">
        <v>16</v>
      </c>
      <c r="K24">
        <v>0</v>
      </c>
    </row>
    <row r="25" spans="1:14" x14ac:dyDescent="0.25">
      <c r="A25" s="1">
        <v>0.21875</v>
      </c>
      <c r="B25" s="2">
        <v>1</v>
      </c>
      <c r="C25" s="2">
        <v>3</v>
      </c>
      <c r="E25">
        <v>12</v>
      </c>
      <c r="F25" t="s">
        <v>23</v>
      </c>
      <c r="G25">
        <f t="shared" si="1"/>
        <v>12</v>
      </c>
      <c r="H25" t="s">
        <v>16</v>
      </c>
      <c r="K25">
        <v>0.3</v>
      </c>
      <c r="L25" t="s">
        <v>31</v>
      </c>
    </row>
    <row r="26" spans="1:14" x14ac:dyDescent="0.25">
      <c r="A26" s="1">
        <v>0.22916666666666699</v>
      </c>
      <c r="B26" s="2">
        <v>1</v>
      </c>
      <c r="C26" s="2">
        <v>3</v>
      </c>
      <c r="E26">
        <v>14.64</v>
      </c>
      <c r="F26" t="s">
        <v>23</v>
      </c>
      <c r="G26">
        <f t="shared" si="1"/>
        <v>14.64</v>
      </c>
      <c r="H26" t="s">
        <v>16</v>
      </c>
      <c r="K26">
        <v>0.45</v>
      </c>
      <c r="L26" t="s">
        <v>31</v>
      </c>
    </row>
    <row r="27" spans="1:14" x14ac:dyDescent="0.25">
      <c r="A27" s="1">
        <v>0.23958333333333301</v>
      </c>
      <c r="B27" s="2">
        <v>1</v>
      </c>
      <c r="C27" s="2">
        <v>3</v>
      </c>
      <c r="E27">
        <v>16.23</v>
      </c>
      <c r="F27" t="s">
        <v>23</v>
      </c>
      <c r="G27">
        <f t="shared" si="1"/>
        <v>16.23</v>
      </c>
      <c r="H27" t="s">
        <v>16</v>
      </c>
      <c r="K27">
        <v>0.75</v>
      </c>
      <c r="L27" t="s">
        <v>31</v>
      </c>
    </row>
    <row r="28" spans="1:14" x14ac:dyDescent="0.25">
      <c r="A28" s="1">
        <v>0.25</v>
      </c>
      <c r="B28" s="2">
        <v>1</v>
      </c>
      <c r="C28" s="2">
        <v>3</v>
      </c>
      <c r="E28">
        <v>19.049999999999997</v>
      </c>
      <c r="F28" t="s">
        <v>23</v>
      </c>
      <c r="G28">
        <f t="shared" si="1"/>
        <v>19.049999999999997</v>
      </c>
      <c r="H28" t="s">
        <v>16</v>
      </c>
      <c r="K28">
        <v>1.2</v>
      </c>
      <c r="L28" t="s">
        <v>31</v>
      </c>
    </row>
    <row r="29" spans="1:14" x14ac:dyDescent="0.25">
      <c r="A29" s="1">
        <v>0.26041666666666702</v>
      </c>
      <c r="B29" s="2">
        <v>1</v>
      </c>
      <c r="C29" s="2">
        <v>3</v>
      </c>
      <c r="E29">
        <v>23.234999999999999</v>
      </c>
      <c r="F29" t="s">
        <v>23</v>
      </c>
      <c r="G29">
        <f t="shared" si="1"/>
        <v>23.234999999999999</v>
      </c>
      <c r="H29" t="s">
        <v>16</v>
      </c>
      <c r="K29">
        <v>3.15</v>
      </c>
      <c r="L29" t="s">
        <v>31</v>
      </c>
    </row>
    <row r="30" spans="1:14" x14ac:dyDescent="0.25">
      <c r="A30" s="1">
        <v>0.27083333333333298</v>
      </c>
      <c r="B30" s="2">
        <v>1</v>
      </c>
      <c r="C30" s="2">
        <v>3</v>
      </c>
      <c r="E30">
        <v>26.895</v>
      </c>
      <c r="F30" t="s">
        <v>23</v>
      </c>
      <c r="G30">
        <f t="shared" si="1"/>
        <v>26.895</v>
      </c>
      <c r="H30" t="s">
        <v>16</v>
      </c>
      <c r="K30">
        <v>5.25</v>
      </c>
      <c r="L30" t="s">
        <v>31</v>
      </c>
    </row>
    <row r="31" spans="1:14" x14ac:dyDescent="0.25">
      <c r="A31" s="1">
        <v>0.28125</v>
      </c>
      <c r="B31" s="2">
        <v>1</v>
      </c>
      <c r="C31" s="2">
        <v>3</v>
      </c>
      <c r="E31">
        <v>30.224999999999998</v>
      </c>
      <c r="F31" t="s">
        <v>23</v>
      </c>
      <c r="G31">
        <f t="shared" si="1"/>
        <v>30.224999999999998</v>
      </c>
      <c r="H31" t="s">
        <v>16</v>
      </c>
      <c r="K31">
        <v>7.35</v>
      </c>
      <c r="L31" t="s">
        <v>31</v>
      </c>
    </row>
    <row r="32" spans="1:14" x14ac:dyDescent="0.25">
      <c r="A32" s="1">
        <v>0.29166666666666702</v>
      </c>
      <c r="B32" s="2">
        <v>1</v>
      </c>
      <c r="C32" s="2">
        <v>3</v>
      </c>
      <c r="E32">
        <v>33.839999999999996</v>
      </c>
      <c r="F32" t="s">
        <v>23</v>
      </c>
      <c r="G32">
        <f t="shared" si="1"/>
        <v>33.839999999999996</v>
      </c>
      <c r="H32" t="s">
        <v>16</v>
      </c>
      <c r="K32">
        <v>10.35</v>
      </c>
      <c r="L32" t="s">
        <v>31</v>
      </c>
    </row>
    <row r="33" spans="1:12" x14ac:dyDescent="0.25">
      <c r="A33" s="1">
        <v>0.30208333333333298</v>
      </c>
      <c r="B33" s="2">
        <v>1</v>
      </c>
      <c r="C33" s="2">
        <v>3</v>
      </c>
      <c r="E33">
        <v>39.765000000000001</v>
      </c>
      <c r="F33" t="s">
        <v>23</v>
      </c>
      <c r="G33">
        <f t="shared" si="1"/>
        <v>39.765000000000001</v>
      </c>
      <c r="H33" t="s">
        <v>16</v>
      </c>
      <c r="K33">
        <v>13.05</v>
      </c>
      <c r="L33" t="s">
        <v>31</v>
      </c>
    </row>
    <row r="34" spans="1:12" x14ac:dyDescent="0.25">
      <c r="A34" s="1">
        <v>0.3125</v>
      </c>
      <c r="B34" s="2">
        <v>1</v>
      </c>
      <c r="C34" s="2">
        <v>3</v>
      </c>
      <c r="E34">
        <v>43.68</v>
      </c>
      <c r="F34" t="s">
        <v>23</v>
      </c>
      <c r="G34">
        <f t="shared" si="1"/>
        <v>43.68</v>
      </c>
      <c r="H34" t="s">
        <v>16</v>
      </c>
      <c r="K34">
        <v>16.8</v>
      </c>
      <c r="L34" t="s">
        <v>31</v>
      </c>
    </row>
    <row r="35" spans="1:12" x14ac:dyDescent="0.25">
      <c r="A35" s="1">
        <v>0.32291666666666702</v>
      </c>
      <c r="B35" s="2">
        <v>1</v>
      </c>
      <c r="C35" s="2">
        <v>3</v>
      </c>
      <c r="E35">
        <v>52.605000000000004</v>
      </c>
      <c r="F35" t="s">
        <v>23</v>
      </c>
      <c r="G35">
        <f t="shared" si="1"/>
        <v>52.605000000000004</v>
      </c>
      <c r="H35" t="s">
        <v>16</v>
      </c>
      <c r="K35">
        <v>23.25</v>
      </c>
      <c r="L35" t="s">
        <v>31</v>
      </c>
    </row>
    <row r="36" spans="1:12" x14ac:dyDescent="0.25">
      <c r="A36" s="1">
        <v>0.33333333333333298</v>
      </c>
      <c r="B36" s="2">
        <v>1</v>
      </c>
      <c r="C36" s="2">
        <v>3</v>
      </c>
      <c r="E36">
        <v>47.325000000000003</v>
      </c>
      <c r="F36" t="s">
        <v>23</v>
      </c>
      <c r="G36">
        <f t="shared" si="1"/>
        <v>47.325000000000003</v>
      </c>
      <c r="H36" t="s">
        <v>16</v>
      </c>
      <c r="K36">
        <v>25.35</v>
      </c>
      <c r="L36" t="s">
        <v>31</v>
      </c>
    </row>
    <row r="37" spans="1:12" x14ac:dyDescent="0.25">
      <c r="A37" s="1">
        <v>0.34375</v>
      </c>
      <c r="B37" s="2">
        <v>1</v>
      </c>
      <c r="C37" s="2">
        <v>3</v>
      </c>
      <c r="E37">
        <v>55.44</v>
      </c>
      <c r="F37" t="s">
        <v>23</v>
      </c>
      <c r="G37">
        <f t="shared" si="1"/>
        <v>55.44</v>
      </c>
      <c r="H37" t="s">
        <v>16</v>
      </c>
      <c r="K37">
        <v>31.05</v>
      </c>
      <c r="L37" t="s">
        <v>31</v>
      </c>
    </row>
    <row r="38" spans="1:12" x14ac:dyDescent="0.25">
      <c r="A38" s="1">
        <v>0.35416666666666702</v>
      </c>
      <c r="B38" s="2">
        <v>1</v>
      </c>
      <c r="C38" s="2">
        <v>3</v>
      </c>
      <c r="E38">
        <v>58.800000000000004</v>
      </c>
      <c r="F38" t="s">
        <v>23</v>
      </c>
      <c r="G38">
        <f t="shared" si="1"/>
        <v>58.800000000000004</v>
      </c>
      <c r="H38" t="s">
        <v>16</v>
      </c>
      <c r="K38">
        <v>34.950000000000003</v>
      </c>
      <c r="L38" t="s">
        <v>31</v>
      </c>
    </row>
    <row r="39" spans="1:12" x14ac:dyDescent="0.25">
      <c r="A39" s="1">
        <v>0.36458333333333298</v>
      </c>
      <c r="B39" s="2">
        <v>1</v>
      </c>
      <c r="C39" s="2">
        <v>3</v>
      </c>
      <c r="E39">
        <v>64.004999999999995</v>
      </c>
      <c r="F39" t="s">
        <v>23</v>
      </c>
      <c r="G39">
        <f t="shared" si="1"/>
        <v>64.004999999999995</v>
      </c>
      <c r="H39" t="s">
        <v>16</v>
      </c>
      <c r="K39">
        <v>44.25</v>
      </c>
      <c r="L39" t="s">
        <v>31</v>
      </c>
    </row>
    <row r="40" spans="1:12" x14ac:dyDescent="0.25">
      <c r="A40" s="1">
        <v>0.375</v>
      </c>
      <c r="B40" s="2">
        <v>1</v>
      </c>
      <c r="C40" s="2">
        <v>3</v>
      </c>
      <c r="E40">
        <v>64.739999999999995</v>
      </c>
      <c r="F40" t="s">
        <v>23</v>
      </c>
      <c r="G40">
        <f t="shared" si="1"/>
        <v>64.739999999999995</v>
      </c>
      <c r="H40" t="s">
        <v>16</v>
      </c>
      <c r="K40">
        <v>48.6</v>
      </c>
      <c r="L40" t="s">
        <v>31</v>
      </c>
    </row>
    <row r="41" spans="1:12" x14ac:dyDescent="0.25">
      <c r="A41" s="1">
        <v>0.38541666666666702</v>
      </c>
      <c r="B41" s="2">
        <v>1</v>
      </c>
      <c r="C41" s="2">
        <v>3</v>
      </c>
      <c r="E41">
        <v>62.655000000000001</v>
      </c>
      <c r="F41" t="s">
        <v>23</v>
      </c>
      <c r="G41">
        <f t="shared" si="1"/>
        <v>62.655000000000001</v>
      </c>
      <c r="H41" t="s">
        <v>16</v>
      </c>
      <c r="K41">
        <v>53.55</v>
      </c>
      <c r="L41" t="s">
        <v>31</v>
      </c>
    </row>
    <row r="42" spans="1:12" x14ac:dyDescent="0.25">
      <c r="A42" s="1">
        <v>0.39583333333333298</v>
      </c>
      <c r="B42" s="2">
        <v>1</v>
      </c>
      <c r="C42" s="2">
        <v>3</v>
      </c>
      <c r="E42">
        <v>66.224999999999994</v>
      </c>
      <c r="F42" t="s">
        <v>23</v>
      </c>
      <c r="G42">
        <f t="shared" si="1"/>
        <v>66.224999999999994</v>
      </c>
      <c r="H42" t="s">
        <v>16</v>
      </c>
      <c r="K42">
        <v>57.9</v>
      </c>
      <c r="L42" t="s">
        <v>31</v>
      </c>
    </row>
    <row r="43" spans="1:12" x14ac:dyDescent="0.25">
      <c r="A43" s="1">
        <v>0.40625</v>
      </c>
      <c r="B43" s="2">
        <v>1</v>
      </c>
      <c r="C43" s="2">
        <v>3</v>
      </c>
      <c r="E43">
        <v>69.074999999999989</v>
      </c>
      <c r="F43" t="s">
        <v>23</v>
      </c>
      <c r="G43">
        <f t="shared" si="1"/>
        <v>69.074999999999989</v>
      </c>
      <c r="H43" t="s">
        <v>16</v>
      </c>
      <c r="K43">
        <v>66.3</v>
      </c>
      <c r="L43" t="s">
        <v>31</v>
      </c>
    </row>
    <row r="44" spans="1:12" x14ac:dyDescent="0.25">
      <c r="A44" s="1">
        <v>0.41666666666666702</v>
      </c>
      <c r="B44" s="2">
        <v>3</v>
      </c>
      <c r="C44" s="2">
        <v>4</v>
      </c>
      <c r="E44">
        <v>68.114999999999995</v>
      </c>
      <c r="F44" t="s">
        <v>24</v>
      </c>
      <c r="G44">
        <f>E44-K44</f>
        <v>-6.7349999999999994</v>
      </c>
      <c r="H44" s="1" t="s">
        <v>10</v>
      </c>
      <c r="K44">
        <v>74.849999999999994</v>
      </c>
      <c r="L44" t="s">
        <v>31</v>
      </c>
    </row>
    <row r="45" spans="1:12" x14ac:dyDescent="0.25">
      <c r="A45" s="1">
        <v>0.42708333333333298</v>
      </c>
      <c r="B45" s="2">
        <v>3</v>
      </c>
      <c r="C45" s="2">
        <v>4</v>
      </c>
      <c r="E45">
        <v>71.820000000000007</v>
      </c>
      <c r="F45" t="s">
        <v>24</v>
      </c>
      <c r="G45">
        <f t="shared" ref="G45:G52" si="2">E45-K45</f>
        <v>-0.17999999999999261</v>
      </c>
      <c r="H45" s="1" t="s">
        <v>10</v>
      </c>
      <c r="K45">
        <v>72</v>
      </c>
      <c r="L45" t="s">
        <v>31</v>
      </c>
    </row>
    <row r="46" spans="1:12" x14ac:dyDescent="0.25">
      <c r="A46" s="1">
        <v>0.4375</v>
      </c>
      <c r="B46" s="2">
        <v>3</v>
      </c>
      <c r="C46" s="2">
        <v>4</v>
      </c>
      <c r="E46">
        <v>65.099999999999994</v>
      </c>
      <c r="F46" t="s">
        <v>24</v>
      </c>
      <c r="G46">
        <f t="shared" si="2"/>
        <v>-24.450000000000003</v>
      </c>
      <c r="H46" s="1" t="s">
        <v>10</v>
      </c>
      <c r="K46">
        <v>89.55</v>
      </c>
      <c r="L46" t="s">
        <v>31</v>
      </c>
    </row>
    <row r="47" spans="1:12" x14ac:dyDescent="0.25">
      <c r="A47" s="1">
        <v>0.44791666666666702</v>
      </c>
      <c r="B47" s="2">
        <v>3</v>
      </c>
      <c r="C47" s="2">
        <v>4</v>
      </c>
      <c r="E47">
        <v>75.974999999999994</v>
      </c>
      <c r="F47" t="s">
        <v>24</v>
      </c>
      <c r="G47">
        <f t="shared" si="2"/>
        <v>-20.625</v>
      </c>
      <c r="H47" s="1" t="s">
        <v>10</v>
      </c>
      <c r="K47">
        <v>96.6</v>
      </c>
      <c r="L47" t="s">
        <v>31</v>
      </c>
    </row>
    <row r="48" spans="1:12" x14ac:dyDescent="0.25">
      <c r="A48" s="1">
        <v>0.45833333333333298</v>
      </c>
      <c r="B48" s="2">
        <v>3</v>
      </c>
      <c r="C48" s="2">
        <v>4</v>
      </c>
      <c r="E48">
        <v>75.960000000000008</v>
      </c>
      <c r="F48" t="s">
        <v>24</v>
      </c>
      <c r="G48">
        <f t="shared" si="2"/>
        <v>-8.6399999999999864</v>
      </c>
      <c r="H48" s="1" t="s">
        <v>10</v>
      </c>
      <c r="K48">
        <v>84.6</v>
      </c>
      <c r="L48" t="s">
        <v>31</v>
      </c>
    </row>
    <row r="49" spans="1:12" x14ac:dyDescent="0.25">
      <c r="A49" s="1">
        <v>0.46875</v>
      </c>
      <c r="B49" s="2">
        <v>3</v>
      </c>
      <c r="C49" s="2">
        <v>4</v>
      </c>
      <c r="E49">
        <v>70.784999999999997</v>
      </c>
      <c r="F49" t="s">
        <v>24</v>
      </c>
      <c r="G49">
        <f t="shared" si="2"/>
        <v>-35.564999999999998</v>
      </c>
      <c r="H49" s="1" t="s">
        <v>10</v>
      </c>
      <c r="K49">
        <v>106.35</v>
      </c>
      <c r="L49" t="s">
        <v>31</v>
      </c>
    </row>
    <row r="50" spans="1:12" x14ac:dyDescent="0.25">
      <c r="A50" s="1">
        <v>0.47916666666666702</v>
      </c>
      <c r="B50" s="2">
        <v>3</v>
      </c>
      <c r="C50" s="2">
        <v>4</v>
      </c>
      <c r="E50">
        <v>73.5</v>
      </c>
      <c r="F50" t="s">
        <v>24</v>
      </c>
      <c r="G50">
        <f t="shared" si="2"/>
        <v>-45.150000000000006</v>
      </c>
      <c r="H50" s="1" t="s">
        <v>10</v>
      </c>
      <c r="K50">
        <v>118.65</v>
      </c>
      <c r="L50" t="s">
        <v>31</v>
      </c>
    </row>
    <row r="51" spans="1:12" x14ac:dyDescent="0.25">
      <c r="A51" s="1">
        <v>0.48958333333333298</v>
      </c>
      <c r="B51" s="2">
        <v>3</v>
      </c>
      <c r="C51" s="2">
        <v>4</v>
      </c>
      <c r="E51">
        <v>71.88</v>
      </c>
      <c r="F51" t="s">
        <v>24</v>
      </c>
      <c r="G51">
        <f t="shared" si="2"/>
        <v>-46.320000000000007</v>
      </c>
      <c r="H51" s="1" t="s">
        <v>10</v>
      </c>
      <c r="K51">
        <v>118.2</v>
      </c>
      <c r="L51" t="s">
        <v>31</v>
      </c>
    </row>
    <row r="52" spans="1:12" x14ac:dyDescent="0.25">
      <c r="A52" s="1">
        <v>0.5</v>
      </c>
      <c r="B52" s="2">
        <v>3</v>
      </c>
      <c r="C52" s="2">
        <v>4</v>
      </c>
      <c r="E52">
        <v>69.36</v>
      </c>
      <c r="F52" t="s">
        <v>24</v>
      </c>
      <c r="G52">
        <f t="shared" si="2"/>
        <v>-58.739999999999995</v>
      </c>
      <c r="H52" s="1" t="s">
        <v>10</v>
      </c>
      <c r="K52">
        <v>128.1</v>
      </c>
      <c r="L52" t="s">
        <v>31</v>
      </c>
    </row>
    <row r="53" spans="1:12" x14ac:dyDescent="0.25">
      <c r="A53" s="1">
        <v>0.51041666666666696</v>
      </c>
      <c r="B53" s="2">
        <v>3</v>
      </c>
      <c r="C53" s="2">
        <v>5</v>
      </c>
      <c r="E53">
        <v>71.655000000000001</v>
      </c>
      <c r="F53" t="s">
        <v>24</v>
      </c>
      <c r="G53">
        <f t="shared" ref="G53:G56" si="3">E53-K53+I53</f>
        <v>0</v>
      </c>
      <c r="H53" s="1"/>
      <c r="I53">
        <f>K53-E53</f>
        <v>58.245000000000005</v>
      </c>
      <c r="J53" t="s">
        <v>17</v>
      </c>
      <c r="K53">
        <v>129.9</v>
      </c>
      <c r="L53" t="s">
        <v>31</v>
      </c>
    </row>
    <row r="54" spans="1:12" x14ac:dyDescent="0.25">
      <c r="A54" s="1">
        <v>0.52083333333333304</v>
      </c>
      <c r="B54" s="2">
        <v>3</v>
      </c>
      <c r="C54" s="2">
        <v>5</v>
      </c>
      <c r="E54">
        <v>73.905000000000001</v>
      </c>
      <c r="F54" t="s">
        <v>24</v>
      </c>
      <c r="G54">
        <f t="shared" si="3"/>
        <v>0</v>
      </c>
      <c r="H54" s="1"/>
      <c r="I54">
        <f t="shared" ref="I54:I56" si="4">K54-E54</f>
        <v>44.295000000000002</v>
      </c>
      <c r="J54" t="s">
        <v>17</v>
      </c>
      <c r="K54">
        <v>118.2</v>
      </c>
      <c r="L54" t="s">
        <v>31</v>
      </c>
    </row>
    <row r="55" spans="1:12" x14ac:dyDescent="0.25">
      <c r="A55" s="1">
        <v>0.53125</v>
      </c>
      <c r="B55" s="2">
        <v>3</v>
      </c>
      <c r="C55" s="2">
        <v>5</v>
      </c>
      <c r="E55">
        <v>69.63</v>
      </c>
      <c r="F55" t="s">
        <v>24</v>
      </c>
      <c r="G55">
        <f t="shared" si="3"/>
        <v>0</v>
      </c>
      <c r="H55" s="1"/>
      <c r="I55">
        <f t="shared" si="4"/>
        <v>46.92</v>
      </c>
      <c r="J55" t="s">
        <v>17</v>
      </c>
      <c r="K55">
        <v>116.55</v>
      </c>
      <c r="L55" t="s">
        <v>31</v>
      </c>
    </row>
    <row r="56" spans="1:12" x14ac:dyDescent="0.25">
      <c r="A56" s="1">
        <v>0.54166666666666696</v>
      </c>
      <c r="B56" s="2">
        <v>3</v>
      </c>
      <c r="C56" s="2">
        <v>5</v>
      </c>
      <c r="E56">
        <v>69.314999999999998</v>
      </c>
      <c r="F56" t="s">
        <v>24</v>
      </c>
      <c r="G56">
        <f t="shared" si="3"/>
        <v>0</v>
      </c>
      <c r="H56" s="1"/>
      <c r="I56">
        <f t="shared" si="4"/>
        <v>58.185000000000002</v>
      </c>
      <c r="J56" t="s">
        <v>17</v>
      </c>
      <c r="K56">
        <v>127.5</v>
      </c>
      <c r="L56" t="s">
        <v>31</v>
      </c>
    </row>
    <row r="57" spans="1:12" x14ac:dyDescent="0.25">
      <c r="A57" s="1">
        <v>0.55208333333333304</v>
      </c>
      <c r="B57" s="2">
        <v>3</v>
      </c>
      <c r="C57" s="2">
        <v>4</v>
      </c>
      <c r="E57">
        <v>69.465000000000003</v>
      </c>
      <c r="F57" t="s">
        <v>24</v>
      </c>
      <c r="G57">
        <f t="shared" ref="G57:G58" si="5">E57-K57</f>
        <v>-56.234999999999999</v>
      </c>
      <c r="H57" s="1" t="s">
        <v>10</v>
      </c>
      <c r="K57">
        <v>125.7</v>
      </c>
      <c r="L57" t="s">
        <v>31</v>
      </c>
    </row>
    <row r="58" spans="1:12" x14ac:dyDescent="0.25">
      <c r="A58" s="1">
        <v>0.5625</v>
      </c>
      <c r="B58" s="2">
        <v>3</v>
      </c>
      <c r="C58" s="2">
        <v>4</v>
      </c>
      <c r="E58">
        <v>70.185000000000002</v>
      </c>
      <c r="F58" t="s">
        <v>24</v>
      </c>
      <c r="G58">
        <f t="shared" si="5"/>
        <v>-43.965000000000003</v>
      </c>
      <c r="H58" s="1" t="s">
        <v>10</v>
      </c>
      <c r="K58">
        <v>114.15</v>
      </c>
      <c r="L58" t="s">
        <v>31</v>
      </c>
    </row>
    <row r="59" spans="1:12" x14ac:dyDescent="0.25">
      <c r="A59" s="1">
        <v>0.57291666666666696</v>
      </c>
      <c r="B59" s="2">
        <v>3</v>
      </c>
      <c r="C59" s="2">
        <v>4</v>
      </c>
      <c r="E59">
        <v>71.789999999999992</v>
      </c>
      <c r="F59" t="s">
        <v>24</v>
      </c>
      <c r="G59">
        <f t="shared" ref="G59:G60" si="6">E59-K59</f>
        <v>-47.610000000000014</v>
      </c>
      <c r="H59" s="1" t="s">
        <v>10</v>
      </c>
      <c r="K59">
        <v>119.4</v>
      </c>
      <c r="L59" t="s">
        <v>31</v>
      </c>
    </row>
    <row r="60" spans="1:12" x14ac:dyDescent="0.25">
      <c r="A60" s="1">
        <v>0.58333333333333304</v>
      </c>
      <c r="B60" s="2">
        <v>3</v>
      </c>
      <c r="C60" s="2">
        <v>4</v>
      </c>
      <c r="E60">
        <v>65.894999999999996</v>
      </c>
      <c r="F60" t="s">
        <v>24</v>
      </c>
      <c r="G60">
        <f t="shared" si="6"/>
        <v>-53.805000000000007</v>
      </c>
      <c r="H60" s="1" t="s">
        <v>10</v>
      </c>
      <c r="K60">
        <v>119.7</v>
      </c>
      <c r="L60" t="s">
        <v>31</v>
      </c>
    </row>
    <row r="61" spans="1:12" x14ac:dyDescent="0.25">
      <c r="A61" s="1">
        <v>0.59375</v>
      </c>
      <c r="B61" s="2">
        <v>3</v>
      </c>
      <c r="C61" s="2">
        <v>4</v>
      </c>
      <c r="E61">
        <v>68.28</v>
      </c>
      <c r="F61" t="s">
        <v>24</v>
      </c>
      <c r="G61">
        <f t="shared" ref="G61" si="7">E61-K61</f>
        <v>-46.17</v>
      </c>
      <c r="H61" s="1" t="s">
        <v>10</v>
      </c>
      <c r="K61">
        <v>114.45</v>
      </c>
      <c r="L61" t="s">
        <v>31</v>
      </c>
    </row>
    <row r="62" spans="1:12" x14ac:dyDescent="0.25">
      <c r="A62" s="1">
        <v>0.60416666666666696</v>
      </c>
      <c r="B62" s="2">
        <v>3</v>
      </c>
      <c r="C62" s="2">
        <v>4</v>
      </c>
      <c r="E62">
        <v>66.795000000000002</v>
      </c>
      <c r="F62" t="s">
        <v>24</v>
      </c>
      <c r="G62">
        <f t="shared" ref="G62:G69" si="8">E62-K62</f>
        <v>-44.504999999999995</v>
      </c>
      <c r="H62" s="1" t="s">
        <v>10</v>
      </c>
      <c r="K62">
        <v>111.3</v>
      </c>
      <c r="L62" t="s">
        <v>31</v>
      </c>
    </row>
    <row r="63" spans="1:12" x14ac:dyDescent="0.25">
      <c r="A63" s="1">
        <v>0.61458333333333304</v>
      </c>
      <c r="B63" s="2">
        <v>3</v>
      </c>
      <c r="C63" s="2">
        <v>4</v>
      </c>
      <c r="E63">
        <v>60.66</v>
      </c>
      <c r="F63" t="s">
        <v>24</v>
      </c>
      <c r="G63">
        <f t="shared" si="8"/>
        <v>-34.14</v>
      </c>
      <c r="H63" s="1" t="s">
        <v>10</v>
      </c>
      <c r="K63">
        <v>94.8</v>
      </c>
      <c r="L63" t="s">
        <v>31</v>
      </c>
    </row>
    <row r="64" spans="1:12" x14ac:dyDescent="0.25">
      <c r="A64" s="1">
        <v>0.625</v>
      </c>
      <c r="B64" s="2">
        <v>3</v>
      </c>
      <c r="C64" s="2">
        <v>4</v>
      </c>
      <c r="E64">
        <v>63.765000000000001</v>
      </c>
      <c r="F64" t="s">
        <v>24</v>
      </c>
      <c r="G64">
        <f t="shared" si="8"/>
        <v>-26.234999999999999</v>
      </c>
      <c r="H64" s="1" t="s">
        <v>10</v>
      </c>
      <c r="K64">
        <v>90</v>
      </c>
      <c r="L64" t="s">
        <v>31</v>
      </c>
    </row>
    <row r="65" spans="1:12" x14ac:dyDescent="0.25">
      <c r="A65" s="1">
        <v>0.63541666666666696</v>
      </c>
      <c r="B65" s="2">
        <v>3</v>
      </c>
      <c r="C65" s="2">
        <v>4</v>
      </c>
      <c r="E65">
        <v>63.480000000000004</v>
      </c>
      <c r="F65" t="s">
        <v>24</v>
      </c>
      <c r="G65">
        <f t="shared" si="8"/>
        <v>-22.769999999999996</v>
      </c>
      <c r="H65" s="1" t="s">
        <v>10</v>
      </c>
      <c r="K65">
        <v>86.25</v>
      </c>
      <c r="L65" t="s">
        <v>31</v>
      </c>
    </row>
    <row r="66" spans="1:12" x14ac:dyDescent="0.25">
      <c r="A66" s="1">
        <v>0.64583333333333304</v>
      </c>
      <c r="B66" s="2">
        <v>3</v>
      </c>
      <c r="C66" s="2">
        <v>4</v>
      </c>
      <c r="E66">
        <v>62.67</v>
      </c>
      <c r="F66" t="s">
        <v>24</v>
      </c>
      <c r="G66">
        <f t="shared" si="8"/>
        <v>-22.83</v>
      </c>
      <c r="H66" s="1" t="s">
        <v>10</v>
      </c>
      <c r="K66">
        <v>85.5</v>
      </c>
      <c r="L66" t="s">
        <v>31</v>
      </c>
    </row>
    <row r="67" spans="1:12" x14ac:dyDescent="0.25">
      <c r="A67" s="1">
        <v>0.65625</v>
      </c>
      <c r="B67" s="2">
        <v>3</v>
      </c>
      <c r="C67" s="2">
        <v>4</v>
      </c>
      <c r="E67">
        <v>62.550000000000004</v>
      </c>
      <c r="F67" t="s">
        <v>24</v>
      </c>
      <c r="G67">
        <f t="shared" si="8"/>
        <v>-20.399999999999999</v>
      </c>
      <c r="H67" s="1" t="s">
        <v>10</v>
      </c>
      <c r="K67">
        <v>82.95</v>
      </c>
      <c r="L67" t="s">
        <v>31</v>
      </c>
    </row>
    <row r="68" spans="1:12" x14ac:dyDescent="0.25">
      <c r="A68" s="1">
        <v>0.66666666666666696</v>
      </c>
      <c r="B68" s="2">
        <v>3</v>
      </c>
      <c r="C68" s="2">
        <v>4</v>
      </c>
      <c r="E68">
        <v>55.755000000000003</v>
      </c>
      <c r="F68" t="s">
        <v>24</v>
      </c>
      <c r="G68">
        <f t="shared" si="8"/>
        <v>-17.895000000000003</v>
      </c>
      <c r="H68" s="1" t="s">
        <v>10</v>
      </c>
      <c r="K68">
        <v>73.650000000000006</v>
      </c>
      <c r="L68" t="s">
        <v>31</v>
      </c>
    </row>
    <row r="69" spans="1:12" x14ac:dyDescent="0.25">
      <c r="A69" s="1">
        <v>0.67708333333333304</v>
      </c>
      <c r="B69" s="2">
        <v>3</v>
      </c>
      <c r="C69" s="2">
        <v>4</v>
      </c>
      <c r="E69">
        <v>59.429999999999993</v>
      </c>
      <c r="F69" t="s">
        <v>24</v>
      </c>
      <c r="G69">
        <f t="shared" si="8"/>
        <v>-4.1700000000000088</v>
      </c>
      <c r="H69" s="1" t="s">
        <v>10</v>
      </c>
      <c r="K69">
        <v>63.6</v>
      </c>
      <c r="L69" t="s">
        <v>31</v>
      </c>
    </row>
    <row r="70" spans="1:12" x14ac:dyDescent="0.25">
      <c r="A70" s="1">
        <v>0.6875</v>
      </c>
      <c r="B70" s="2">
        <v>1</v>
      </c>
      <c r="C70" s="2">
        <v>3</v>
      </c>
      <c r="E70">
        <v>56.37</v>
      </c>
      <c r="F70" t="s">
        <v>23</v>
      </c>
      <c r="G70">
        <f>E70-K70</f>
        <v>0.26999999999999602</v>
      </c>
      <c r="H70" s="1" t="s">
        <v>16</v>
      </c>
      <c r="K70">
        <v>56.1</v>
      </c>
      <c r="L70" t="s">
        <v>31</v>
      </c>
    </row>
    <row r="71" spans="1:12" x14ac:dyDescent="0.25">
      <c r="A71" s="1">
        <v>0.69791666666666696</v>
      </c>
      <c r="B71" s="2">
        <v>1</v>
      </c>
      <c r="C71" s="2">
        <v>3</v>
      </c>
      <c r="E71">
        <v>53.31</v>
      </c>
      <c r="F71" t="s">
        <v>23</v>
      </c>
      <c r="G71">
        <f t="shared" ref="G71:G90" si="9">E71-K71</f>
        <v>9.8100000000000023</v>
      </c>
      <c r="H71" s="1" t="s">
        <v>16</v>
      </c>
      <c r="K71">
        <v>43.5</v>
      </c>
      <c r="L71" t="s">
        <v>31</v>
      </c>
    </row>
    <row r="72" spans="1:12" x14ac:dyDescent="0.25">
      <c r="A72" s="1">
        <v>0.70833333333333304</v>
      </c>
      <c r="B72" s="2">
        <v>1</v>
      </c>
      <c r="C72" s="2">
        <v>3</v>
      </c>
      <c r="E72">
        <v>56.34</v>
      </c>
      <c r="F72" t="s">
        <v>23</v>
      </c>
      <c r="G72">
        <f t="shared" si="9"/>
        <v>18.240000000000002</v>
      </c>
      <c r="H72" s="1" t="s">
        <v>16</v>
      </c>
      <c r="K72">
        <v>38.1</v>
      </c>
      <c r="L72" t="s">
        <v>31</v>
      </c>
    </row>
    <row r="73" spans="1:12" x14ac:dyDescent="0.25">
      <c r="A73" s="1">
        <v>0.71875</v>
      </c>
      <c r="B73" s="2">
        <v>1</v>
      </c>
      <c r="C73" s="2">
        <v>3</v>
      </c>
      <c r="E73">
        <v>54.33</v>
      </c>
      <c r="F73" t="s">
        <v>23</v>
      </c>
      <c r="G73">
        <f t="shared" si="9"/>
        <v>19.829999999999998</v>
      </c>
      <c r="H73" s="1" t="s">
        <v>16</v>
      </c>
      <c r="K73">
        <v>34.5</v>
      </c>
      <c r="L73" t="s">
        <v>31</v>
      </c>
    </row>
    <row r="74" spans="1:12" x14ac:dyDescent="0.25">
      <c r="A74" s="1">
        <v>0.72916666666666696</v>
      </c>
      <c r="B74" s="2">
        <v>1</v>
      </c>
      <c r="C74" s="2">
        <v>3</v>
      </c>
      <c r="E74">
        <v>49.050000000000004</v>
      </c>
      <c r="F74" t="s">
        <v>23</v>
      </c>
      <c r="G74">
        <f t="shared" si="9"/>
        <v>22.200000000000003</v>
      </c>
      <c r="H74" s="1" t="s">
        <v>16</v>
      </c>
      <c r="K74">
        <v>26.85</v>
      </c>
      <c r="L74" t="s">
        <v>31</v>
      </c>
    </row>
    <row r="75" spans="1:12" x14ac:dyDescent="0.25">
      <c r="A75" s="1">
        <v>0.73958333333333304</v>
      </c>
      <c r="B75" s="2">
        <v>1</v>
      </c>
      <c r="C75" s="2">
        <v>3</v>
      </c>
      <c r="E75">
        <v>49.56</v>
      </c>
      <c r="F75" t="s">
        <v>23</v>
      </c>
      <c r="G75">
        <f t="shared" si="9"/>
        <v>27.060000000000002</v>
      </c>
      <c r="H75" s="1" t="s">
        <v>16</v>
      </c>
      <c r="K75">
        <v>22.5</v>
      </c>
      <c r="L75" t="s">
        <v>31</v>
      </c>
    </row>
    <row r="76" spans="1:12" x14ac:dyDescent="0.25">
      <c r="A76" s="1">
        <v>0.75</v>
      </c>
      <c r="B76" s="2">
        <v>1</v>
      </c>
      <c r="C76" s="2">
        <v>3</v>
      </c>
      <c r="E76">
        <v>44.835000000000001</v>
      </c>
      <c r="F76" t="s">
        <v>23</v>
      </c>
      <c r="G76">
        <f t="shared" si="9"/>
        <v>26.085000000000001</v>
      </c>
      <c r="H76" s="1" t="s">
        <v>16</v>
      </c>
      <c r="K76">
        <v>18.75</v>
      </c>
      <c r="L76" t="s">
        <v>31</v>
      </c>
    </row>
    <row r="77" spans="1:12" x14ac:dyDescent="0.25">
      <c r="A77" s="1">
        <v>0.76041666666666696</v>
      </c>
      <c r="B77" s="2">
        <v>1</v>
      </c>
      <c r="C77" s="2">
        <v>3</v>
      </c>
      <c r="E77">
        <v>43.230000000000004</v>
      </c>
      <c r="F77" t="s">
        <v>23</v>
      </c>
      <c r="G77">
        <f t="shared" si="9"/>
        <v>29.130000000000003</v>
      </c>
      <c r="H77" s="1" t="s">
        <v>16</v>
      </c>
      <c r="K77">
        <v>14.1</v>
      </c>
      <c r="L77" t="s">
        <v>31</v>
      </c>
    </row>
    <row r="78" spans="1:12" x14ac:dyDescent="0.25">
      <c r="A78" s="1">
        <v>0.77083333333333304</v>
      </c>
      <c r="B78" s="2">
        <v>1</v>
      </c>
      <c r="C78" s="2">
        <v>3</v>
      </c>
      <c r="E78">
        <v>38.910000000000004</v>
      </c>
      <c r="F78" t="s">
        <v>23</v>
      </c>
      <c r="G78">
        <f t="shared" si="9"/>
        <v>27.810000000000002</v>
      </c>
      <c r="H78" s="1" t="s">
        <v>16</v>
      </c>
      <c r="K78">
        <v>11.1</v>
      </c>
      <c r="L78" t="s">
        <v>31</v>
      </c>
    </row>
    <row r="79" spans="1:12" x14ac:dyDescent="0.25">
      <c r="A79" s="1">
        <v>0.78125</v>
      </c>
      <c r="B79" s="2">
        <v>1</v>
      </c>
      <c r="C79" s="2">
        <v>3</v>
      </c>
      <c r="E79">
        <v>40.71</v>
      </c>
      <c r="F79" t="s">
        <v>23</v>
      </c>
      <c r="G79">
        <f t="shared" si="9"/>
        <v>33.36</v>
      </c>
      <c r="H79" s="1" t="s">
        <v>16</v>
      </c>
      <c r="K79">
        <v>7.35</v>
      </c>
      <c r="L79" t="s">
        <v>31</v>
      </c>
    </row>
    <row r="80" spans="1:12" x14ac:dyDescent="0.25">
      <c r="A80" s="1">
        <v>0.79166666666666696</v>
      </c>
      <c r="B80" s="2">
        <v>3</v>
      </c>
      <c r="C80" s="2">
        <v>6</v>
      </c>
      <c r="E80">
        <v>32.055</v>
      </c>
      <c r="F80" t="s">
        <v>21</v>
      </c>
      <c r="G80">
        <f>E80-K80+I80</f>
        <v>0</v>
      </c>
      <c r="H80" s="1"/>
      <c r="I80">
        <f>K80-E80</f>
        <v>-28.754999999999999</v>
      </c>
      <c r="J80" t="s">
        <v>18</v>
      </c>
      <c r="K80">
        <v>3.3</v>
      </c>
      <c r="L80" t="s">
        <v>31</v>
      </c>
    </row>
    <row r="81" spans="1:12" x14ac:dyDescent="0.25">
      <c r="A81" s="1">
        <v>0.80208333333333304</v>
      </c>
      <c r="B81" s="2">
        <v>3</v>
      </c>
      <c r="C81" s="2">
        <v>6</v>
      </c>
      <c r="E81">
        <v>33.674999999999997</v>
      </c>
      <c r="F81" t="s">
        <v>21</v>
      </c>
      <c r="G81">
        <f t="shared" ref="G81:G88" si="10">E81-K81+I81</f>
        <v>0</v>
      </c>
      <c r="H81" s="1"/>
      <c r="I81">
        <f t="shared" ref="I81:I88" si="11">K81-E81</f>
        <v>-31.274999999999999</v>
      </c>
      <c r="J81" t="s">
        <v>18</v>
      </c>
      <c r="K81">
        <v>2.4</v>
      </c>
      <c r="L81" t="s">
        <v>31</v>
      </c>
    </row>
    <row r="82" spans="1:12" x14ac:dyDescent="0.25">
      <c r="A82" s="1">
        <v>0.8125</v>
      </c>
      <c r="B82" s="2">
        <v>3</v>
      </c>
      <c r="C82" s="2">
        <v>6</v>
      </c>
      <c r="E82">
        <v>32.61</v>
      </c>
      <c r="F82" t="s">
        <v>21</v>
      </c>
      <c r="G82">
        <f t="shared" si="10"/>
        <v>0</v>
      </c>
      <c r="H82" s="1"/>
      <c r="I82">
        <f t="shared" si="11"/>
        <v>-31.11</v>
      </c>
      <c r="J82" t="s">
        <v>18</v>
      </c>
      <c r="K82">
        <v>1.5</v>
      </c>
      <c r="L82" t="s">
        <v>31</v>
      </c>
    </row>
    <row r="83" spans="1:12" x14ac:dyDescent="0.25">
      <c r="A83" s="1">
        <v>0.82291666666666696</v>
      </c>
      <c r="B83" s="2">
        <v>3</v>
      </c>
      <c r="C83" s="2">
        <v>6</v>
      </c>
      <c r="E83">
        <v>27.255000000000003</v>
      </c>
      <c r="F83" t="s">
        <v>21</v>
      </c>
      <c r="G83">
        <f t="shared" si="10"/>
        <v>0</v>
      </c>
      <c r="H83" s="1"/>
      <c r="I83">
        <f t="shared" si="11"/>
        <v>-26.355000000000004</v>
      </c>
      <c r="J83" t="s">
        <v>18</v>
      </c>
      <c r="K83">
        <v>0.9</v>
      </c>
      <c r="L83" t="s">
        <v>31</v>
      </c>
    </row>
    <row r="84" spans="1:12" x14ac:dyDescent="0.25">
      <c r="A84" s="1">
        <v>0.83333333333333304</v>
      </c>
      <c r="B84" s="2">
        <v>6</v>
      </c>
      <c r="E84">
        <v>27.39</v>
      </c>
      <c r="F84" t="s">
        <v>21</v>
      </c>
      <c r="G84">
        <f t="shared" si="10"/>
        <v>0</v>
      </c>
      <c r="H84" s="1"/>
      <c r="I84">
        <f t="shared" si="11"/>
        <v>-27.39</v>
      </c>
      <c r="J84" t="s">
        <v>18</v>
      </c>
      <c r="K84">
        <v>0</v>
      </c>
    </row>
    <row r="85" spans="1:12" x14ac:dyDescent="0.25">
      <c r="A85" s="1">
        <v>0.84375</v>
      </c>
      <c r="B85" s="2">
        <v>6</v>
      </c>
      <c r="E85">
        <v>26.130000000000003</v>
      </c>
      <c r="F85" t="s">
        <v>21</v>
      </c>
      <c r="G85">
        <f t="shared" si="10"/>
        <v>0</v>
      </c>
      <c r="H85" s="1"/>
      <c r="I85">
        <f t="shared" si="11"/>
        <v>-26.130000000000003</v>
      </c>
      <c r="J85" t="s">
        <v>18</v>
      </c>
      <c r="K85">
        <v>0</v>
      </c>
    </row>
    <row r="86" spans="1:12" x14ac:dyDescent="0.25">
      <c r="A86" s="1">
        <v>0.85416666666666696</v>
      </c>
      <c r="B86" s="2">
        <v>6</v>
      </c>
      <c r="E86">
        <v>25.650000000000002</v>
      </c>
      <c r="F86" t="s">
        <v>21</v>
      </c>
      <c r="G86">
        <f t="shared" si="10"/>
        <v>0</v>
      </c>
      <c r="H86" s="1"/>
      <c r="I86">
        <f t="shared" si="11"/>
        <v>-25.650000000000002</v>
      </c>
      <c r="J86" t="s">
        <v>18</v>
      </c>
      <c r="K86">
        <v>0</v>
      </c>
    </row>
    <row r="87" spans="1:12" x14ac:dyDescent="0.25">
      <c r="A87" s="1">
        <v>0.86458333333333304</v>
      </c>
      <c r="B87" s="2">
        <v>6</v>
      </c>
      <c r="E87">
        <v>24.630000000000003</v>
      </c>
      <c r="F87" t="s">
        <v>21</v>
      </c>
      <c r="G87">
        <f t="shared" si="10"/>
        <v>0</v>
      </c>
      <c r="H87" s="1"/>
      <c r="I87">
        <f t="shared" si="11"/>
        <v>-24.630000000000003</v>
      </c>
      <c r="J87" t="s">
        <v>18</v>
      </c>
      <c r="K87">
        <v>0</v>
      </c>
    </row>
    <row r="88" spans="1:12" x14ac:dyDescent="0.25">
      <c r="A88" s="1">
        <v>0.875</v>
      </c>
      <c r="B88" s="2">
        <v>6</v>
      </c>
      <c r="E88">
        <v>21.72</v>
      </c>
      <c r="F88" t="s">
        <v>21</v>
      </c>
      <c r="G88">
        <f t="shared" si="10"/>
        <v>0</v>
      </c>
      <c r="H88" s="1"/>
      <c r="I88">
        <f t="shared" si="11"/>
        <v>-21.72</v>
      </c>
      <c r="J88" t="s">
        <v>18</v>
      </c>
      <c r="K88">
        <v>0</v>
      </c>
    </row>
    <row r="89" spans="1:12" x14ac:dyDescent="0.25">
      <c r="A89" s="1">
        <v>0.88541666666666696</v>
      </c>
      <c r="B89" s="2">
        <v>1</v>
      </c>
      <c r="E89">
        <v>18.240000000000002</v>
      </c>
      <c r="F89" t="s">
        <v>22</v>
      </c>
      <c r="G89">
        <f t="shared" si="9"/>
        <v>18.240000000000002</v>
      </c>
      <c r="H89" s="1" t="s">
        <v>16</v>
      </c>
      <c r="K89">
        <v>0</v>
      </c>
    </row>
    <row r="90" spans="1:12" x14ac:dyDescent="0.25">
      <c r="A90" s="1">
        <v>0.89583333333333304</v>
      </c>
      <c r="B90" s="2">
        <v>1</v>
      </c>
      <c r="E90">
        <v>17.46</v>
      </c>
      <c r="F90" t="s">
        <v>22</v>
      </c>
      <c r="G90">
        <f t="shared" si="9"/>
        <v>17.46</v>
      </c>
      <c r="H90" s="1" t="s">
        <v>16</v>
      </c>
      <c r="K90">
        <v>0</v>
      </c>
    </row>
    <row r="91" spans="1:12" x14ac:dyDescent="0.25">
      <c r="A91" s="1">
        <v>0.90625</v>
      </c>
      <c r="B91" s="2">
        <v>1</v>
      </c>
      <c r="E91">
        <v>14.475000000000001</v>
      </c>
      <c r="F91" t="s">
        <v>22</v>
      </c>
      <c r="G91">
        <f t="shared" ref="G91" si="12">E91-K91</f>
        <v>14.475000000000001</v>
      </c>
      <c r="H91" s="1" t="s">
        <v>16</v>
      </c>
      <c r="K91">
        <v>0</v>
      </c>
    </row>
    <row r="92" spans="1:12" x14ac:dyDescent="0.25">
      <c r="A92" s="1">
        <v>0.91666666666666696</v>
      </c>
      <c r="B92" s="2">
        <v>1</v>
      </c>
      <c r="C92" s="2">
        <v>2</v>
      </c>
      <c r="E92">
        <v>10.83</v>
      </c>
      <c r="F92" t="s">
        <v>22</v>
      </c>
      <c r="G92">
        <f t="shared" ref="G92:G99" si="13">E92-K92+I92</f>
        <v>60.83</v>
      </c>
      <c r="H92" s="1" t="s">
        <v>16</v>
      </c>
      <c r="I92">
        <v>50</v>
      </c>
      <c r="J92" t="s">
        <v>17</v>
      </c>
      <c r="K92">
        <v>0</v>
      </c>
    </row>
    <row r="93" spans="1:12" x14ac:dyDescent="0.25">
      <c r="A93" s="1">
        <v>0.92708333333333304</v>
      </c>
      <c r="B93" s="2">
        <v>1</v>
      </c>
      <c r="C93" s="2">
        <v>2</v>
      </c>
      <c r="E93">
        <v>10.845000000000001</v>
      </c>
      <c r="F93" t="s">
        <v>22</v>
      </c>
      <c r="G93">
        <f t="shared" si="13"/>
        <v>60.844999999999999</v>
      </c>
      <c r="H93" s="1" t="s">
        <v>16</v>
      </c>
      <c r="I93">
        <v>50</v>
      </c>
      <c r="J93" t="s">
        <v>17</v>
      </c>
      <c r="K93">
        <v>0</v>
      </c>
    </row>
    <row r="94" spans="1:12" x14ac:dyDescent="0.25">
      <c r="A94" s="1">
        <v>0.9375</v>
      </c>
      <c r="B94" s="2">
        <v>1</v>
      </c>
      <c r="C94" s="2">
        <v>2</v>
      </c>
      <c r="E94">
        <v>10.5</v>
      </c>
      <c r="F94" t="s">
        <v>22</v>
      </c>
      <c r="G94">
        <f t="shared" si="13"/>
        <v>60.5</v>
      </c>
      <c r="H94" s="1" t="s">
        <v>16</v>
      </c>
      <c r="I94">
        <v>50</v>
      </c>
      <c r="J94" t="s">
        <v>17</v>
      </c>
      <c r="K94">
        <v>0</v>
      </c>
    </row>
    <row r="95" spans="1:12" x14ac:dyDescent="0.25">
      <c r="A95" s="1">
        <v>0.94791666666666696</v>
      </c>
      <c r="B95" s="2">
        <v>1</v>
      </c>
      <c r="C95" s="2">
        <v>2</v>
      </c>
      <c r="E95">
        <v>10.23</v>
      </c>
      <c r="F95" t="s">
        <v>22</v>
      </c>
      <c r="G95">
        <f t="shared" si="13"/>
        <v>60.230000000000004</v>
      </c>
      <c r="H95" s="1" t="s">
        <v>16</v>
      </c>
      <c r="I95">
        <v>50</v>
      </c>
      <c r="J95" t="s">
        <v>17</v>
      </c>
      <c r="K95">
        <v>0</v>
      </c>
    </row>
    <row r="96" spans="1:12" x14ac:dyDescent="0.25">
      <c r="A96" s="1">
        <v>0.95833333333333304</v>
      </c>
      <c r="B96" s="2">
        <v>1</v>
      </c>
      <c r="E96">
        <v>9.7349999999999994</v>
      </c>
      <c r="F96" t="s">
        <v>22</v>
      </c>
      <c r="G96">
        <f t="shared" si="13"/>
        <v>9.7349999999999994</v>
      </c>
      <c r="H96" s="1" t="s">
        <v>16</v>
      </c>
      <c r="K96">
        <v>0</v>
      </c>
    </row>
    <row r="97" spans="1:11" x14ac:dyDescent="0.25">
      <c r="A97" s="1">
        <v>0.96875</v>
      </c>
      <c r="B97" s="2">
        <v>1</v>
      </c>
      <c r="E97">
        <v>9.69</v>
      </c>
      <c r="F97" t="s">
        <v>22</v>
      </c>
      <c r="G97">
        <f t="shared" si="13"/>
        <v>9.69</v>
      </c>
      <c r="H97" s="1" t="s">
        <v>16</v>
      </c>
      <c r="K97">
        <v>0</v>
      </c>
    </row>
    <row r="98" spans="1:11" x14ac:dyDescent="0.25">
      <c r="A98" s="1">
        <v>0.97916666666666696</v>
      </c>
      <c r="B98" s="2">
        <v>1</v>
      </c>
      <c r="E98">
        <v>8.0849999999999991</v>
      </c>
      <c r="F98" t="s">
        <v>22</v>
      </c>
      <c r="G98">
        <f t="shared" si="13"/>
        <v>8.0849999999999991</v>
      </c>
      <c r="H98" s="1" t="s">
        <v>16</v>
      </c>
      <c r="K98">
        <v>0</v>
      </c>
    </row>
    <row r="99" spans="1:11" x14ac:dyDescent="0.25">
      <c r="A99" s="1">
        <v>0.98958333333333304</v>
      </c>
      <c r="B99" s="2">
        <v>1</v>
      </c>
      <c r="E99">
        <v>8.5500000000000007</v>
      </c>
      <c r="F99" t="s">
        <v>22</v>
      </c>
      <c r="G99">
        <f t="shared" si="13"/>
        <v>8.5500000000000007</v>
      </c>
      <c r="H99" s="1" t="s">
        <v>16</v>
      </c>
      <c r="K99">
        <v>0</v>
      </c>
    </row>
    <row r="100" spans="1:11" x14ac:dyDescent="0.25">
      <c r="H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d'Orey</dc:creator>
  <cp:lastModifiedBy>Patrick d'Orey</cp:lastModifiedBy>
  <dcterms:created xsi:type="dcterms:W3CDTF">2026-01-20T20:14:57Z</dcterms:created>
  <dcterms:modified xsi:type="dcterms:W3CDTF">2026-01-21T01:30:01Z</dcterms:modified>
</cp:coreProperties>
</file>